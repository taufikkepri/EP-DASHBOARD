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Panduan" sheetId="1" state="visible" r:id="rId3"/>
    <sheet name="1_Input_Harian" sheetId="2" state="visible" r:id="rId4"/>
    <sheet name="2_Rekap_Mingguan" sheetId="3" state="visible" r:id="rId5"/>
    <sheet name="3_Target_vs_Realisasi" sheetId="4" state="visible" r:id="rId6"/>
    <sheet name="4_Asumsi_Parame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<sst xmlns="http://schemas.openxmlformats.org/spreadsheetml/2006/main" count="188" uniqueCount="139">
  <si>
    <t xml:space="preserve">PANDUAN PENGISIAN — TEMPLATE MONITORING ENERGI PRIMER PLTU</t>
  </si>
  <si>
    <t xml:space="preserve">No</t>
  </si>
  <si>
    <t xml:space="preserve">Sheet</t>
  </si>
  <si>
    <t xml:space="preserve">Cara Pengisian</t>
  </si>
  <si>
    <t xml:space="preserve">Sumber Data</t>
  </si>
  <si>
    <t xml:space="preserve">Frekuensi</t>
  </si>
  <si>
    <t xml:space="preserve">1_Input_Harian</t>
  </si>
  <si>
    <t xml:space="preserve">Isi setiap hari per unit. Kolom penerimaan diisi saat ada pengiriman. Konsumsi dari logsheet operator. Nilai Kalor (GCal) dihitung otomatis.</t>
  </si>
  <si>
    <t xml:space="preserve">Logsheet operator / logbook gudang</t>
  </si>
  <si>
    <t xml:space="preserve">Harian</t>
  </si>
  <si>
    <t xml:space="preserve">1_Input_Harian &gt; GCV Coal</t>
  </si>
  <si>
    <t xml:space="preserve">Isi sesuai COA dari batubara yang diterima. Jika tidak ada COA, gunakan nilai default di sheet 4_Asumsi.</t>
  </si>
  <si>
    <t xml:space="preserve">COA batubara / Lab</t>
  </si>
  <si>
    <t xml:space="preserve">Per penerimaan</t>
  </si>
  <si>
    <t xml:space="preserve">2_Rekap_Mingguan</t>
  </si>
  <si>
    <t xml:space="preserve">Isi rekap setiap Jumat. Konsumsi = SUM dari Input Harian seminggu. Heat Rate &amp; SFC dihitung otomatis.</t>
  </si>
  <si>
    <t xml:space="preserve">Rekap dari sheet 1</t>
  </si>
  <si>
    <t xml:space="preserve">Mingguan (Jumat)</t>
  </si>
  <si>
    <t xml:space="preserve">3_Target_vs_Realisasi</t>
  </si>
  <si>
    <t xml:space="preserve">Kolom Target diisi awal bulan sesuai RKAP. Realisasi diisi dari rekap aktual. Deviasi &amp; status otomatis.</t>
  </si>
  <si>
    <t xml:space="preserve">RKAP / Rencana Produksi</t>
  </si>
  <si>
    <t xml:space="preserve">Bulanan</t>
  </si>
  <si>
    <t xml:space="preserve">4_Asumsi_Parameter</t>
  </si>
  <si>
    <t xml:space="preserve">Ubah nilai GCV sesuai spesifikasi aktual. Perubahan di sini mempengaruhi semua perhitungan kalor.</t>
  </si>
  <si>
    <t xml:space="preserve">Manual / COA</t>
  </si>
  <si>
    <t xml:space="preserve">Saat ada perubahan</t>
  </si>
  <si>
    <t xml:space="preserve">Heat Rate</t>
  </si>
  <si>
    <t xml:space="preserve">Heat Rate (kCal/kWh) = Total Nilai Kalor (GCal) × 1.000.000 ÷ Produksi Netto (MWh). Semakin kecil = efisien.</t>
  </si>
  <si>
    <t xml:space="preserve">Formula otomatis</t>
  </si>
  <si>
    <t xml:space="preserve">—</t>
  </si>
  <si>
    <t xml:space="preserve">SFC Coal</t>
  </si>
  <si>
    <t xml:space="preserve">Specific Fuel Consumption = Konsumsi Coal (ton) × 1000 ÷ Produksi (MWh). Satuan: kg/kWh.</t>
  </si>
  <si>
    <t xml:space="preserve">INPUT HARIAN ENERGI PRIMER — PLTU (Coal · HSD · Biomassa)</t>
  </si>
  <si>
    <t xml:space="preserve">Identitas</t>
  </si>
  <si>
    <t xml:space="preserve">🪨  COAL (Batubara)</t>
  </si>
  <si>
    <t xml:space="preserve">⛽  HSD (Solar)</t>
  </si>
  <si>
    <t xml:space="preserve">🌿  BIOMASSA</t>
  </si>
  <si>
    <t xml:space="preserve">📊  PRODUKSI &amp; EFISIENSI</t>
  </si>
  <si>
    <t xml:space="preserve">Tanggal</t>
  </si>
  <si>
    <t xml:space="preserve">Unit
(1/2)</t>
  </si>
  <si>
    <t xml:space="preserve">Penerimaan
Coal (ton)</t>
  </si>
  <si>
    <t xml:space="preserve">Konsumsi
Coal (ton)</t>
  </si>
  <si>
    <t xml:space="preserve">Stok Coal
(ton)</t>
  </si>
  <si>
    <t xml:space="preserve">GCV Coal
(kCal/kg)</t>
  </si>
  <si>
    <t xml:space="preserve">Nilai Kalor
Coal (GCal)</t>
  </si>
  <si>
    <t xml:space="preserve">Penerimaan
HSD (kL)</t>
  </si>
  <si>
    <t xml:space="preserve">Konsumsi
HSD (kL)</t>
  </si>
  <si>
    <t xml:space="preserve">Stok HSD
(kL)</t>
  </si>
  <si>
    <t xml:space="preserve">Nilai Kalor
HSD (GCal)</t>
  </si>
  <si>
    <t xml:space="preserve">Penerimaan
Biomassa (ton)</t>
  </si>
  <si>
    <t xml:space="preserve">Konsumsi
Biomassa (ton)</t>
  </si>
  <si>
    <t xml:space="preserve">Stok Biomassa
(ton)</t>
  </si>
  <si>
    <t xml:space="preserve">Nilai Kalor
Biomassa (GCal)</t>
  </si>
  <si>
    <t xml:space="preserve">Produksi
Netto (MWh)</t>
  </si>
  <si>
    <t xml:space="preserve">Beban
Rerata (MW)</t>
  </si>
  <si>
    <t xml:space="preserve">Heat Rate
(kCal/kWh)</t>
  </si>
  <si>
    <t xml:space="preserve">SFC Coal
(kg/kWh)</t>
  </si>
  <si>
    <t xml:space="preserve">REKAPITULASI MINGGUAN ENERGI PRIMER — PLTU UNIT 1 &amp; 2</t>
  </si>
  <si>
    <t xml:space="preserve">Minggu
Ke-</t>
  </si>
  <si>
    <t xml:space="preserve">Periode</t>
  </si>
  <si>
    <t xml:space="preserve">Unit</t>
  </si>
  <si>
    <t xml:space="preserve">Stok Akhir
Coal (ton)</t>
  </si>
  <si>
    <t xml:space="preserve">Total Nilai
Kalor (GCal)</t>
  </si>
  <si>
    <t xml:space="preserve">Availability
Factor (%)</t>
  </si>
  <si>
    <t xml:space="preserve">Keterangan</t>
  </si>
  <si>
    <t xml:space="preserve">W-14</t>
  </si>
  <si>
    <t xml:space="preserve">31 Mar – 06 Apr 2026</t>
  </si>
  <si>
    <t xml:space="preserve">W-15</t>
  </si>
  <si>
    <t xml:space="preserve">07 Apr – 13 Apr 2026</t>
  </si>
  <si>
    <t xml:space="preserve">W-16</t>
  </si>
  <si>
    <t xml:space="preserve">14 Apr – 20 Apr 2026</t>
  </si>
  <si>
    <t xml:space="preserve">W-17</t>
  </si>
  <si>
    <t xml:space="preserve">21 Apr – 27 Apr 2026</t>
  </si>
  <si>
    <t xml:space="preserve">W-18</t>
  </si>
  <si>
    <t xml:space="preserve">28 Apr – 04 Mei 2026</t>
  </si>
  <si>
    <t xml:space="preserve">W-19</t>
  </si>
  <si>
    <t xml:space="preserve">05 Mei – 11 Mei 2026</t>
  </si>
  <si>
    <t xml:space="preserve">TARGET vs REALISASI ENERGI PRIMER — BULANAN 2026</t>
  </si>
  <si>
    <t xml:space="preserve">KPI / Parameter</t>
  </si>
  <si>
    <t xml:space="preserve">Satuan</t>
  </si>
  <si>
    <t xml:space="preserve">Target
Bulan Ini</t>
  </si>
  <si>
    <t xml:space="preserve">Realisasi
Bulan Ini</t>
  </si>
  <si>
    <t xml:space="preserve">Deviasi</t>
  </si>
  <si>
    <t xml:space="preserve">Dev (%)</t>
  </si>
  <si>
    <t xml:space="preserve">Status</t>
  </si>
  <si>
    <t xml:space="preserve">Target
YTD</t>
  </si>
  <si>
    <t xml:space="preserve">Realisasi
YTD</t>
  </si>
  <si>
    <t xml:space="preserve">Deviasi
YTD</t>
  </si>
  <si>
    <t xml:space="preserve">Dev YTD (%)</t>
  </si>
  <si>
    <t xml:space="preserve">Status
YTD</t>
  </si>
  <si>
    <t xml:space="preserve">Produksi Netto</t>
  </si>
  <si>
    <t xml:space="preserve">MWh</t>
  </si>
  <si>
    <t xml:space="preserve">⚠️ DEVIASI</t>
  </si>
  <si>
    <t xml:space="preserve">Konsumsi Coal Total</t>
  </si>
  <si>
    <t xml:space="preserve">ton</t>
  </si>
  <si>
    <t xml:space="preserve">Konsumsi HSD Total</t>
  </si>
  <si>
    <t xml:space="preserve">kL</t>
  </si>
  <si>
    <t xml:space="preserve">✅ BAIK</t>
  </si>
  <si>
    <t xml:space="preserve">Konsumsi Biomassa Total</t>
  </si>
  <si>
    <t xml:space="preserve">Heat Rate Netto</t>
  </si>
  <si>
    <t xml:space="preserve">kCal/kWh</t>
  </si>
  <si>
    <t xml:space="preserve">kg/kWh</t>
  </si>
  <si>
    <t xml:space="preserve">Availability Factor</t>
  </si>
  <si>
    <t xml:space="preserve">%</t>
  </si>
  <si>
    <t xml:space="preserve">Rasio Co-firing Biomassa</t>
  </si>
  <si>
    <t xml:space="preserve">PARAMETER &amp; ASUMSI — NILAI KALOR DAN KONVERSI SATUAN</t>
  </si>
  <si>
    <t xml:space="preserve">NILAI KALOR (GCV) DEFAULT</t>
  </si>
  <si>
    <t xml:space="preserve">Coal</t>
  </si>
  <si>
    <t xml:space="preserve">kCal/kg</t>
  </si>
  <si>
    <t xml:space="preserve">5.000</t>
  </si>
  <si>
    <t xml:space="preserve">Sesuaikan dengan COA batubara aktual</t>
  </si>
  <si>
    <t xml:space="preserve">HSD (Solar)</t>
  </si>
  <si>
    <t xml:space="preserve">kCal/liter</t>
  </si>
  <si>
    <t xml:space="preserve">8.600</t>
  </si>
  <si>
    <t xml:space="preserve">Standar Pertamina</t>
  </si>
  <si>
    <t xml:space="preserve">Biomassa (Wood Chip)</t>
  </si>
  <si>
    <t xml:space="preserve">3.500</t>
  </si>
  <si>
    <t xml:space="preserve">Sesuaikan dengan jenis biomassa</t>
  </si>
  <si>
    <t xml:space="preserve">KONVERSI SATUAN</t>
  </si>
  <si>
    <t xml:space="preserve">1 kL HSD</t>
  </si>
  <si>
    <t xml:space="preserve">liter</t>
  </si>
  <si>
    <t xml:space="preserve">1.000</t>
  </si>
  <si>
    <t xml:space="preserve">1 GCal</t>
  </si>
  <si>
    <t xml:space="preserve">kCal</t>
  </si>
  <si>
    <t xml:space="preserve">1.000.000</t>
  </si>
  <si>
    <t xml:space="preserve">TARGET KPI BULANAN</t>
  </si>
  <si>
    <t xml:space="preserve">2.450</t>
  </si>
  <si>
    <t xml:space="preserve">Sesuaikan dengan desain turbin</t>
  </si>
  <si>
    <t xml:space="preserve">5,80</t>
  </si>
  <si>
    <t xml:space="preserve">92,0</t>
  </si>
  <si>
    <t xml:space="preserve">3,5</t>
  </si>
  <si>
    <t xml:space="preserve">Target co-firing sesuai kebijakan</t>
  </si>
  <si>
    <t xml:space="preserve">KAPASITAS TERPASANG</t>
  </si>
  <si>
    <t xml:space="preserve">Unit 1</t>
  </si>
  <si>
    <t xml:space="preserve">MW</t>
  </si>
  <si>
    <t xml:space="preserve">150</t>
  </si>
  <si>
    <t xml:space="preserve">Unit 2</t>
  </si>
  <si>
    <t xml:space="preserve">Total</t>
  </si>
  <si>
    <t xml:space="preserve">300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</si>
</sst>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C2C2C"/>
        <bgColor rgb="FF003300"/>
      </patternFill>
    </fill>
    <fill>
      <patternFill patternType="solid">
        <fgColor rgb="FFB8860B"/>
        <bgColor rgb="FFFF9900"/>
      </patternFill>
    </fill>
    <fill>
      <patternFill patternType="solid">
        <fgColor rgb="FF2E7D32"/>
        <bgColor rgb="FF008000"/>
      </patternFill>
    </fill>
    <fill>
      <patternFill patternType="solid">
        <fgColor rgb="FF375623"/>
        <bgColor rgb="FF2E7D32"/>
      </patternFill>
    </fill>
    <fill>
      <patternFill patternType="solid">
        <fgColor rgb="FF7B3F00"/>
        <bgColor rgb="FF993366"/>
      </patternFill>
    </fill>
    <fill>
      <patternFill patternType="solid">
        <fgColor rgb="FFFFF8E1"/>
        <bgColor rgb="FFFFFFFF"/>
      </patternFill>
    </fill>
    <fill>
      <patternFill patternType="solid">
        <fgColor rgb="FFE8F5E9"/>
        <bgColor rgb="FFFFF8E1"/>
      </patternFill>
    </fill>
    <fill>
      <patternFill patternType="solid">
        <fgColor rgb="FFD6E4F0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75623"/>
      <rgbColor rgb="FF7B3F00"/>
      <rgbColor rgb="FF993366"/>
      <rgbColor rgb="FF1F4E7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36" hidden="false" customHeight="true" outlineLevel="0" collapsed="false">
      <c r="A4" s="3" t="n">
        <v>1</v>
      </c>
      <c r="B4" s="4" t="s">
        <v>6</v>
      </c>
      <c r="C4" s="4" t="s">
        <v>7</v>
      </c>
      <c r="D4" s="4" t="s">
        <v>8</v>
      </c>
      <c r="E4" s="4" t="s">
        <v>9</v>
      </c>
    </row>
    <row r="5" customFormat="false" ht="36" hidden="false" customHeight="true" outlineLevel="0" collapsed="false">
      <c r="A5" s="3" t="n">
        <v>2</v>
      </c>
      <c r="B5" s="4" t="s">
        <v>10</v>
      </c>
      <c r="C5" s="4" t="s">
        <v>11</v>
      </c>
      <c r="D5" s="4" t="s">
        <v>12</v>
      </c>
      <c r="E5" s="4" t="s">
        <v>13</v>
      </c>
    </row>
    <row r="6" customFormat="false" ht="36" hidden="false" customHeight="true" outlineLevel="0" collapsed="false">
      <c r="A6" s="3" t="n">
        <v>3</v>
      </c>
      <c r="B6" s="4" t="s">
        <v>14</v>
      </c>
      <c r="C6" s="4" t="s">
        <v>15</v>
      </c>
      <c r="D6" s="4" t="s">
        <v>16</v>
      </c>
      <c r="E6" s="4" t="s">
        <v>17</v>
      </c>
    </row>
    <row r="7" customFormat="false" ht="36" hidden="false" customHeight="true" outlineLevel="0" collapsed="false">
      <c r="A7" s="3" t="n">
        <v>4</v>
      </c>
      <c r="B7" s="4" t="s">
        <v>18</v>
      </c>
      <c r="C7" s="4" t="s">
        <v>19</v>
      </c>
      <c r="D7" s="4" t="s">
        <v>20</v>
      </c>
      <c r="E7" s="4" t="s">
        <v>21</v>
      </c>
    </row>
    <row r="8" customFormat="false" ht="36" hidden="false" customHeight="true" outlineLevel="0" collapsed="false">
      <c r="A8" s="3" t="n">
        <v>5</v>
      </c>
      <c r="B8" s="4" t="s">
        <v>22</v>
      </c>
      <c r="C8" s="4" t="s">
        <v>23</v>
      </c>
      <c r="D8" s="4" t="s">
        <v>24</v>
      </c>
      <c r="E8" s="4" t="s">
        <v>25</v>
      </c>
    </row>
    <row r="9" customFormat="false" ht="36" hidden="false" customHeight="true" outlineLevel="0" collapsed="false">
      <c r="A9" s="3" t="n">
        <v>6</v>
      </c>
      <c r="B9" s="4" t="s">
        <v>26</v>
      </c>
      <c r="C9" s="4" t="s">
        <v>27</v>
      </c>
      <c r="D9" s="4" t="s">
        <v>28</v>
      </c>
      <c r="E9" s="4" t="s">
        <v>29</v>
      </c>
    </row>
    <row r="10" customFormat="false" ht="36" hidden="false" customHeight="true" outlineLevel="0" collapsed="false">
      <c r="A10" s="3" t="n">
        <v>7</v>
      </c>
      <c r="B10" s="4" t="s">
        <v>30</v>
      </c>
      <c r="C10" s="4" t="s">
        <v>31</v>
      </c>
      <c r="D10" s="4" t="s">
        <v>28</v>
      </c>
      <c r="E10" s="4" t="s">
        <v>29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6" min="12" style="0" width="16"/>
    <col collapsed="false" customWidth="true" hidden="false" outlineLevel="0" max="19" min="17" style="0" width="14"/>
  </cols>
  <sheetData>
    <row r="1" customFormat="false" ht="21.7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5" t="s">
        <v>33</v>
      </c>
      <c r="B2" s="5"/>
      <c r="C2" s="6" t="s">
        <v>34</v>
      </c>
      <c r="D2" s="6"/>
      <c r="E2" s="6"/>
      <c r="F2" s="6"/>
      <c r="G2" s="6"/>
      <c r="H2" s="7" t="s">
        <v>35</v>
      </c>
      <c r="I2" s="7"/>
      <c r="J2" s="7"/>
      <c r="K2" s="7"/>
      <c r="L2" s="8" t="s">
        <v>36</v>
      </c>
      <c r="M2" s="8"/>
      <c r="N2" s="8"/>
      <c r="O2" s="8"/>
      <c r="P2" s="5" t="s">
        <v>37</v>
      </c>
      <c r="Q2" s="5"/>
      <c r="R2" s="5"/>
      <c r="S2" s="5"/>
    </row>
    <row r="3" customFormat="false" ht="36" hidden="false" customHeight="true" outlineLevel="0" collapsed="false">
      <c r="A3" s="2" t="s">
        <v>38</v>
      </c>
      <c r="B3" s="2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10" t="s">
        <v>45</v>
      </c>
      <c r="I3" s="10" t="s">
        <v>46</v>
      </c>
      <c r="J3" s="10" t="s">
        <v>47</v>
      </c>
      <c r="K3" s="10" t="s">
        <v>48</v>
      </c>
      <c r="L3" s="11" t="s">
        <v>49</v>
      </c>
      <c r="M3" s="11" t="s">
        <v>50</v>
      </c>
      <c r="N3" s="11" t="s">
        <v>51</v>
      </c>
      <c r="O3" s="11" t="s">
        <v>52</v>
      </c>
      <c r="P3" s="2" t="s">
        <v>53</v>
      </c>
      <c r="Q3" s="2" t="s">
        <v>54</v>
      </c>
      <c r="R3" s="2" t="s">
        <v>55</v>
      </c>
      <c r="S3" s="2" t="s">
        <v>56</v>
      </c>
    </row>
    <row r="4" customFormat="false" ht="15" hidden="false" customHeight="false" outlineLevel="0" collapsed="false">
      <c r="A4" s="12" t="n">
        <v>46113</v>
      </c>
      <c r="B4" s="13" t="n">
        <v>1</v>
      </c>
      <c r="C4" s="13" t="n">
        <v>2619</v>
      </c>
      <c r="D4" s="13" t="n">
        <v>844.5</v>
      </c>
      <c r="E4" s="13" t="n">
        <v>16818.5</v>
      </c>
      <c r="F4" s="13" t="n">
        <v>4910</v>
      </c>
      <c r="G4" s="13" t="n">
        <f aca="false">D4*F4/1000000</f>
        <v>4.146495</v>
      </c>
      <c r="H4" s="13" t="n">
        <v>1.12</v>
      </c>
      <c r="I4" s="13" t="n">
        <v>1.6</v>
      </c>
      <c r="J4" s="13" t="n">
        <v>49.52</v>
      </c>
      <c r="K4" s="13" t="n">
        <f aca="false">I4*8600/1000000</f>
        <v>0.01376</v>
      </c>
      <c r="L4" s="13" t="n">
        <v>33.8</v>
      </c>
      <c r="M4" s="13" t="n">
        <v>27.8</v>
      </c>
      <c r="N4" s="13" t="n">
        <v>206</v>
      </c>
      <c r="O4" s="13" t="n">
        <f aca="false">M4*3500/1000000</f>
        <v>0.0973</v>
      </c>
      <c r="P4" s="13" t="n">
        <v>154.3</v>
      </c>
      <c r="Q4" s="13" t="n">
        <v>6.4</v>
      </c>
      <c r="R4" s="13" t="n">
        <f aca="false">IFERROR((G4+K4+O4)*1000000/P4,"")</f>
        <v>27592.7090084251</v>
      </c>
      <c r="S4" s="13" t="n">
        <f aca="false">IFERROR(D4*1000/P4,"")</f>
        <v>5473.10434219054</v>
      </c>
    </row>
    <row r="5" customFormat="false" ht="15" hidden="false" customHeight="false" outlineLevel="0" collapsed="false">
      <c r="A5" s="12" t="n">
        <v>46113</v>
      </c>
      <c r="B5" s="13" t="n">
        <v>2</v>
      </c>
      <c r="C5" s="13" t="n">
        <v>1728</v>
      </c>
      <c r="D5" s="13" t="n">
        <v>812.7</v>
      </c>
      <c r="E5" s="13" t="n">
        <v>15876.3</v>
      </c>
      <c r="F5" s="13" t="n">
        <v>4887</v>
      </c>
      <c r="G5" s="13" t="n">
        <f aca="false">D5*F5/1000000</f>
        <v>3.9716649</v>
      </c>
      <c r="H5" s="13" t="n">
        <v>2.53</v>
      </c>
      <c r="I5" s="13" t="n">
        <v>0.54</v>
      </c>
      <c r="J5" s="13" t="n">
        <v>51.99</v>
      </c>
      <c r="K5" s="13" t="n">
        <f aca="false">I5*8600/1000000</f>
        <v>0.004644</v>
      </c>
      <c r="L5" s="13" t="n">
        <v>9.9</v>
      </c>
      <c r="M5" s="13" t="n">
        <v>23</v>
      </c>
      <c r="N5" s="13" t="n">
        <v>186.9</v>
      </c>
      <c r="O5" s="13" t="n">
        <f aca="false">M5*3500/1000000</f>
        <v>0.0805</v>
      </c>
      <c r="P5" s="13" t="n">
        <v>177.2</v>
      </c>
      <c r="Q5" s="13" t="n">
        <v>7.4</v>
      </c>
      <c r="R5" s="13" t="n">
        <f aca="false">IFERROR((G5+K5+O5)*1000000/P5,"")</f>
        <v>22893.9554176072</v>
      </c>
      <c r="S5" s="13" t="n">
        <f aca="false">IFERROR(D5*1000/P5,"")</f>
        <v>4586.34311512415</v>
      </c>
    </row>
    <row r="6" customFormat="false" ht="15" hidden="false" customHeight="false" outlineLevel="0" collapsed="false">
      <c r="A6" s="12" t="n">
        <v>46114</v>
      </c>
      <c r="B6" s="13" t="n">
        <v>1</v>
      </c>
      <c r="C6" s="13" t="n">
        <v>0</v>
      </c>
      <c r="D6" s="13" t="n">
        <v>888.2</v>
      </c>
      <c r="E6" s="13" t="n">
        <v>14036.8</v>
      </c>
      <c r="F6" s="13" t="n">
        <v>4911</v>
      </c>
      <c r="G6" s="13" t="n">
        <f aca="false">D6*F6/1000000</f>
        <v>4.3619502</v>
      </c>
      <c r="H6" s="13" t="n">
        <v>0</v>
      </c>
      <c r="I6" s="13" t="n">
        <v>1.8</v>
      </c>
      <c r="J6" s="13" t="n">
        <v>48.2</v>
      </c>
      <c r="K6" s="13" t="n">
        <f aca="false">I6*8600/1000000</f>
        <v>0.01548</v>
      </c>
      <c r="L6" s="13" t="n">
        <v>0</v>
      </c>
      <c r="M6" s="13" t="n">
        <v>25.2</v>
      </c>
      <c r="N6" s="13" t="n">
        <v>174.8</v>
      </c>
      <c r="O6" s="13" t="n">
        <f aca="false">M6*3500/1000000</f>
        <v>0.0882</v>
      </c>
      <c r="P6" s="13" t="n">
        <v>158</v>
      </c>
      <c r="Q6" s="13" t="n">
        <v>6.6</v>
      </c>
      <c r="R6" s="13" t="n">
        <f aca="false">IFERROR((G6+K6+O6)*1000000/P6,"")</f>
        <v>28263.482278481</v>
      </c>
      <c r="S6" s="13" t="n">
        <f aca="false">IFERROR(D6*1000/P6,"")</f>
        <v>5621.51898734177</v>
      </c>
    </row>
    <row r="7" customFormat="false" ht="15" hidden="false" customHeight="false" outlineLevel="0" collapsed="false">
      <c r="A7" s="12" t="n">
        <v>46114</v>
      </c>
      <c r="B7" s="13" t="n">
        <v>2</v>
      </c>
      <c r="C7" s="13" t="n">
        <v>0</v>
      </c>
      <c r="D7" s="13" t="n">
        <v>969</v>
      </c>
      <c r="E7" s="13" t="n">
        <v>13916</v>
      </c>
      <c r="F7" s="13" t="n">
        <v>4862</v>
      </c>
      <c r="G7" s="13" t="n">
        <f aca="false">D7*F7/1000000</f>
        <v>4.711278</v>
      </c>
      <c r="H7" s="13" t="n">
        <v>0</v>
      </c>
      <c r="I7" s="13" t="n">
        <v>1.94</v>
      </c>
      <c r="J7" s="13" t="n">
        <v>48.06</v>
      </c>
      <c r="K7" s="13" t="n">
        <f aca="false">I7*8600/1000000</f>
        <v>0.016684</v>
      </c>
      <c r="L7" s="13" t="n">
        <v>0</v>
      </c>
      <c r="M7" s="13" t="n">
        <v>16.7</v>
      </c>
      <c r="N7" s="13" t="n">
        <v>183.3</v>
      </c>
      <c r="O7" s="13" t="n">
        <f aca="false">M7*3500/1000000</f>
        <v>0.05845</v>
      </c>
      <c r="P7" s="13" t="n">
        <v>154.6</v>
      </c>
      <c r="Q7" s="13" t="n">
        <v>6.4</v>
      </c>
      <c r="R7" s="13" t="n">
        <f aca="false">IFERROR((G7+K7+O7)*1000000/P7,"")</f>
        <v>30959.9741267788</v>
      </c>
      <c r="S7" s="13" t="n">
        <f aca="false">IFERROR(D7*1000/P7,"")</f>
        <v>6267.78783958603</v>
      </c>
    </row>
    <row r="8" customFormat="false" ht="15" hidden="false" customHeight="false" outlineLevel="0" collapsed="false">
      <c r="A8" s="12" t="n">
        <v>46115</v>
      </c>
      <c r="B8" s="13" t="n">
        <v>1</v>
      </c>
      <c r="C8" s="13" t="n">
        <v>0</v>
      </c>
      <c r="D8" s="13" t="n">
        <v>838.7</v>
      </c>
      <c r="E8" s="13" t="n">
        <v>13955.3</v>
      </c>
      <c r="F8" s="13" t="n">
        <v>5041</v>
      </c>
      <c r="G8" s="13" t="n">
        <f aca="false">D8*F8/1000000</f>
        <v>4.2278867</v>
      </c>
      <c r="H8" s="13" t="n">
        <v>0</v>
      </c>
      <c r="I8" s="13" t="n">
        <v>1.71</v>
      </c>
      <c r="J8" s="13" t="n">
        <v>48.29</v>
      </c>
      <c r="K8" s="13" t="n">
        <f aca="false">I8*8600/1000000</f>
        <v>0.014706</v>
      </c>
      <c r="L8" s="13" t="n">
        <v>0</v>
      </c>
      <c r="M8" s="13" t="n">
        <v>24.6</v>
      </c>
      <c r="N8" s="13" t="n">
        <v>175.4</v>
      </c>
      <c r="O8" s="13" t="n">
        <f aca="false">M8*3500/1000000</f>
        <v>0.0861</v>
      </c>
      <c r="P8" s="13" t="n">
        <v>176.8</v>
      </c>
      <c r="Q8" s="13" t="n">
        <v>7.4</v>
      </c>
      <c r="R8" s="13" t="n">
        <f aca="false">IFERROR((G8+K8+O8)*1000000/P8,"")</f>
        <v>24483.5559954751</v>
      </c>
      <c r="S8" s="13" t="n">
        <f aca="false">IFERROR(D8*1000/P8,"")</f>
        <v>4743.77828054299</v>
      </c>
    </row>
    <row r="9" customFormat="false" ht="15" hidden="false" customHeight="false" outlineLevel="0" collapsed="false">
      <c r="A9" s="12" t="n">
        <v>46115</v>
      </c>
      <c r="B9" s="13" t="n">
        <v>2</v>
      </c>
      <c r="C9" s="13" t="n">
        <v>0</v>
      </c>
      <c r="D9" s="13" t="n">
        <v>1189.2</v>
      </c>
      <c r="E9" s="13" t="n">
        <v>13608.8</v>
      </c>
      <c r="F9" s="13" t="n">
        <v>4832</v>
      </c>
      <c r="G9" s="13" t="n">
        <f aca="false">D9*F9/1000000</f>
        <v>5.7462144</v>
      </c>
      <c r="H9" s="13" t="n">
        <v>0</v>
      </c>
      <c r="I9" s="13" t="n">
        <v>0.94</v>
      </c>
      <c r="J9" s="13" t="n">
        <v>49.06</v>
      </c>
      <c r="K9" s="13" t="n">
        <f aca="false">I9*8600/1000000</f>
        <v>0.008084</v>
      </c>
      <c r="L9" s="13" t="n">
        <v>0</v>
      </c>
      <c r="M9" s="13" t="n">
        <v>22.6</v>
      </c>
      <c r="N9" s="13" t="n">
        <v>177.4</v>
      </c>
      <c r="O9" s="13" t="n">
        <f aca="false">M9*3500/1000000</f>
        <v>0.0791</v>
      </c>
      <c r="P9" s="13" t="n">
        <v>194.3</v>
      </c>
      <c r="Q9" s="13" t="n">
        <v>8.1</v>
      </c>
      <c r="R9" s="13" t="n">
        <f aca="false">IFERROR((G9+K9+O9)*1000000/P9,"")</f>
        <v>30022.6371590324</v>
      </c>
      <c r="S9" s="13" t="n">
        <f aca="false">IFERROR(D9*1000/P9,"")</f>
        <v>6120.43232115286</v>
      </c>
    </row>
    <row r="10" customFormat="false" ht="15" hidden="false" customHeight="false" outlineLevel="0" collapsed="false">
      <c r="A10" s="12" t="n">
        <v>46116</v>
      </c>
      <c r="B10" s="13" t="n">
        <v>1</v>
      </c>
      <c r="C10" s="13" t="n">
        <v>1481</v>
      </c>
      <c r="D10" s="13" t="n">
        <v>1030.9</v>
      </c>
      <c r="E10" s="13" t="n">
        <v>15190.1</v>
      </c>
      <c r="F10" s="13" t="n">
        <v>4828</v>
      </c>
      <c r="G10" s="13" t="n">
        <f aca="false">D10*F10/1000000</f>
        <v>4.9771852</v>
      </c>
      <c r="H10" s="13" t="n">
        <v>0</v>
      </c>
      <c r="I10" s="13" t="n">
        <v>1.49</v>
      </c>
      <c r="J10" s="13" t="n">
        <v>48.51</v>
      </c>
      <c r="K10" s="13" t="n">
        <f aca="false">I10*8600/1000000</f>
        <v>0.012814</v>
      </c>
      <c r="L10" s="13" t="n">
        <v>0</v>
      </c>
      <c r="M10" s="13" t="n">
        <v>25.5</v>
      </c>
      <c r="N10" s="13" t="n">
        <v>174.5</v>
      </c>
      <c r="O10" s="13" t="n">
        <f aca="false">M10*3500/1000000</f>
        <v>0.08925</v>
      </c>
      <c r="P10" s="13" t="n">
        <v>199.3</v>
      </c>
      <c r="Q10" s="13" t="n">
        <v>8.3</v>
      </c>
      <c r="R10" s="13" t="n">
        <f aca="false">IFERROR((G10+K10+O10)*1000000/P10,"")</f>
        <v>25485.445057702</v>
      </c>
      <c r="S10" s="13" t="n">
        <f aca="false">IFERROR(D10*1000/P10,"")</f>
        <v>5172.6041144004</v>
      </c>
    </row>
    <row r="11" customFormat="false" ht="15" hidden="false" customHeight="false" outlineLevel="0" collapsed="false">
      <c r="A11" s="12" t="n">
        <v>46116</v>
      </c>
      <c r="B11" s="13" t="n">
        <v>2</v>
      </c>
      <c r="C11" s="13" t="n">
        <v>953</v>
      </c>
      <c r="D11" s="13" t="n">
        <v>1146.6</v>
      </c>
      <c r="E11" s="13" t="n">
        <v>14504.4</v>
      </c>
      <c r="F11" s="13" t="n">
        <v>4911</v>
      </c>
      <c r="G11" s="13" t="n">
        <f aca="false">D11*F11/1000000</f>
        <v>5.6309526</v>
      </c>
      <c r="H11" s="13" t="n">
        <v>0</v>
      </c>
      <c r="I11" s="13" t="n">
        <v>1.45</v>
      </c>
      <c r="J11" s="13" t="n">
        <v>48.55</v>
      </c>
      <c r="K11" s="13" t="n">
        <f aca="false">I11*8600/1000000</f>
        <v>0.01247</v>
      </c>
      <c r="L11" s="13" t="n">
        <v>0</v>
      </c>
      <c r="M11" s="13" t="n">
        <v>17.3</v>
      </c>
      <c r="N11" s="13" t="n">
        <v>182.7</v>
      </c>
      <c r="O11" s="13" t="n">
        <f aca="false">M11*3500/1000000</f>
        <v>0.06055</v>
      </c>
      <c r="P11" s="13" t="n">
        <v>168.5</v>
      </c>
      <c r="Q11" s="13" t="n">
        <v>7</v>
      </c>
      <c r="R11" s="13" t="n">
        <f aca="false">IFERROR((G11+K11+O11)*1000000/P11,"")</f>
        <v>33851.4694362018</v>
      </c>
      <c r="S11" s="13" t="n">
        <f aca="false">IFERROR(D11*1000/P11,"")</f>
        <v>6804.74777448071</v>
      </c>
    </row>
    <row r="12" customFormat="false" ht="15" hidden="false" customHeight="false" outlineLevel="0" collapsed="false">
      <c r="A12" s="12" t="n">
        <v>46117</v>
      </c>
      <c r="B12" s="13" t="n">
        <v>1</v>
      </c>
      <c r="C12" s="13" t="n">
        <v>0</v>
      </c>
      <c r="D12" s="13" t="n">
        <v>883.8</v>
      </c>
      <c r="E12" s="13" t="n">
        <v>13700.2</v>
      </c>
      <c r="F12" s="13" t="n">
        <v>5081</v>
      </c>
      <c r="G12" s="13" t="n">
        <f aca="false">D12*F12/1000000</f>
        <v>4.4905878</v>
      </c>
      <c r="H12" s="13" t="n">
        <v>0</v>
      </c>
      <c r="I12" s="13" t="n">
        <v>1.53</v>
      </c>
      <c r="J12" s="13" t="n">
        <v>48.47</v>
      </c>
      <c r="K12" s="13" t="n">
        <f aca="false">I12*8600/1000000</f>
        <v>0.013158</v>
      </c>
      <c r="L12" s="13" t="n">
        <v>3.6</v>
      </c>
      <c r="M12" s="13" t="n">
        <v>22.7</v>
      </c>
      <c r="N12" s="13" t="n">
        <v>180.9</v>
      </c>
      <c r="O12" s="13" t="n">
        <f aca="false">M12*3500/1000000</f>
        <v>0.07945</v>
      </c>
      <c r="P12" s="13" t="n">
        <v>176.7</v>
      </c>
      <c r="Q12" s="13" t="n">
        <v>7.4</v>
      </c>
      <c r="R12" s="13" t="n">
        <f aca="false">IFERROR((G12+K12+O12)*1000000/P12,"")</f>
        <v>25937.7238256933</v>
      </c>
      <c r="S12" s="13" t="n">
        <f aca="false">IFERROR(D12*1000/P12,"")</f>
        <v>5001.69779286927</v>
      </c>
    </row>
    <row r="13" customFormat="false" ht="15" hidden="false" customHeight="false" outlineLevel="0" collapsed="false">
      <c r="A13" s="12" t="n">
        <v>46117</v>
      </c>
      <c r="B13" s="13" t="n">
        <v>2</v>
      </c>
      <c r="C13" s="13" t="n">
        <v>0</v>
      </c>
      <c r="D13" s="13" t="n">
        <v>897.9</v>
      </c>
      <c r="E13" s="13" t="n">
        <v>13711.1</v>
      </c>
      <c r="F13" s="13" t="n">
        <v>4952</v>
      </c>
      <c r="G13" s="13" t="n">
        <f aca="false">D13*F13/1000000</f>
        <v>4.4464008</v>
      </c>
      <c r="H13" s="13" t="n">
        <v>0</v>
      </c>
      <c r="I13" s="13" t="n">
        <v>1.98</v>
      </c>
      <c r="J13" s="13" t="n">
        <v>48.02</v>
      </c>
      <c r="K13" s="13" t="n">
        <f aca="false">I13*8600/1000000</f>
        <v>0.017028</v>
      </c>
      <c r="L13" s="13" t="n">
        <v>32</v>
      </c>
      <c r="M13" s="13" t="n">
        <v>21.1</v>
      </c>
      <c r="N13" s="13" t="n">
        <v>210.9</v>
      </c>
      <c r="O13" s="13" t="n">
        <f aca="false">M13*3500/1000000</f>
        <v>0.07385</v>
      </c>
      <c r="P13" s="13" t="n">
        <v>184.2</v>
      </c>
      <c r="Q13" s="13" t="n">
        <v>7.7</v>
      </c>
      <c r="R13" s="13" t="n">
        <f aca="false">IFERROR((G13+K13+O13)*1000000/P13,"")</f>
        <v>24632.3496199783</v>
      </c>
      <c r="S13" s="13" t="n">
        <f aca="false">IFERROR(D13*1000/P13,"")</f>
        <v>4874.59283387622</v>
      </c>
    </row>
    <row r="14" customFormat="false" ht="15" hidden="false" customHeight="false" outlineLevel="0" collapsed="false">
      <c r="A14" s="12" t="n">
        <v>46118</v>
      </c>
      <c r="B14" s="13" t="n">
        <v>1</v>
      </c>
      <c r="C14" s="13" t="n">
        <v>0</v>
      </c>
      <c r="D14" s="13" t="n">
        <v>1137.1</v>
      </c>
      <c r="E14" s="13" t="n">
        <v>13411.9</v>
      </c>
      <c r="F14" s="13" t="n">
        <v>4822</v>
      </c>
      <c r="G14" s="13" t="n">
        <f aca="false">D14*F14/1000000</f>
        <v>5.4830962</v>
      </c>
      <c r="H14" s="13" t="n">
        <v>0</v>
      </c>
      <c r="I14" s="13" t="n">
        <v>1.73</v>
      </c>
      <c r="J14" s="13" t="n">
        <v>48.27</v>
      </c>
      <c r="K14" s="13" t="n">
        <f aca="false">I14*8600/1000000</f>
        <v>0.014878</v>
      </c>
      <c r="L14" s="13" t="n">
        <v>0</v>
      </c>
      <c r="M14" s="13" t="n">
        <v>26.1</v>
      </c>
      <c r="N14" s="13" t="n">
        <v>173.9</v>
      </c>
      <c r="O14" s="13" t="n">
        <f aca="false">M14*3500/1000000</f>
        <v>0.09135</v>
      </c>
      <c r="P14" s="13" t="n">
        <v>170.1</v>
      </c>
      <c r="Q14" s="13" t="n">
        <v>7.1</v>
      </c>
      <c r="R14" s="13" t="n">
        <f aca="false">IFERROR((G14+K14+O14)*1000000/P14,"")</f>
        <v>32859.0487948266</v>
      </c>
      <c r="S14" s="13" t="n">
        <f aca="false">IFERROR(D14*1000/P14,"")</f>
        <v>6684.8912404468</v>
      </c>
    </row>
    <row r="15" customFormat="false" ht="15" hidden="false" customHeight="false" outlineLevel="0" collapsed="false">
      <c r="A15" s="12" t="n">
        <v>46118</v>
      </c>
      <c r="B15" s="13" t="n">
        <v>2</v>
      </c>
      <c r="C15" s="13" t="n">
        <v>0</v>
      </c>
      <c r="D15" s="13" t="n">
        <v>826.5</v>
      </c>
      <c r="E15" s="13" t="n">
        <v>13695.5</v>
      </c>
      <c r="F15" s="13" t="n">
        <v>5151</v>
      </c>
      <c r="G15" s="13" t="n">
        <f aca="false">D15*F15/1000000</f>
        <v>4.2573015</v>
      </c>
      <c r="H15" s="13" t="n">
        <v>0</v>
      </c>
      <c r="I15" s="13" t="n">
        <v>0.97</v>
      </c>
      <c r="J15" s="13" t="n">
        <v>49.03</v>
      </c>
      <c r="K15" s="13" t="n">
        <f aca="false">I15*8600/1000000</f>
        <v>0.008342</v>
      </c>
      <c r="L15" s="13" t="n">
        <v>0</v>
      </c>
      <c r="M15" s="13" t="n">
        <v>23.1</v>
      </c>
      <c r="N15" s="13" t="n">
        <v>176.9</v>
      </c>
      <c r="O15" s="13" t="n">
        <f aca="false">M15*3500/1000000</f>
        <v>0.08085</v>
      </c>
      <c r="P15" s="13" t="n">
        <v>169.8</v>
      </c>
      <c r="Q15" s="13" t="n">
        <v>7.1</v>
      </c>
      <c r="R15" s="13" t="n">
        <f aca="false">IFERROR((G15+K15+O15)*1000000/P15,"")</f>
        <v>25597.7237926973</v>
      </c>
      <c r="S15" s="13" t="n">
        <f aca="false">IFERROR(D15*1000/P15,"")</f>
        <v>4867.49116607774</v>
      </c>
    </row>
    <row r="16" customFormat="false" ht="15" hidden="false" customHeight="false" outlineLevel="0" collapsed="false">
      <c r="A16" s="12" t="n">
        <v>46119</v>
      </c>
      <c r="B16" s="13" t="n">
        <v>1</v>
      </c>
      <c r="C16" s="13" t="n">
        <v>2633</v>
      </c>
      <c r="D16" s="13" t="n">
        <v>983.5</v>
      </c>
      <c r="E16" s="13" t="n">
        <v>16032.5</v>
      </c>
      <c r="F16" s="13" t="n">
        <v>4856</v>
      </c>
      <c r="G16" s="13" t="n">
        <f aca="false">D16*F16/1000000</f>
        <v>4.775876</v>
      </c>
      <c r="H16" s="13" t="n">
        <v>0</v>
      </c>
      <c r="I16" s="13" t="n">
        <v>1.62</v>
      </c>
      <c r="J16" s="13" t="n">
        <v>48.38</v>
      </c>
      <c r="K16" s="13" t="n">
        <f aca="false">I16*8600/1000000</f>
        <v>0.013932</v>
      </c>
      <c r="L16" s="13" t="n">
        <v>0</v>
      </c>
      <c r="M16" s="13" t="n">
        <v>20.8</v>
      </c>
      <c r="N16" s="13" t="n">
        <v>179.2</v>
      </c>
      <c r="O16" s="13" t="n">
        <f aca="false">M16*3500/1000000</f>
        <v>0.0728</v>
      </c>
      <c r="P16" s="13" t="n">
        <v>187.4</v>
      </c>
      <c r="Q16" s="13" t="n">
        <v>7.8</v>
      </c>
      <c r="R16" s="13" t="n">
        <f aca="false">IFERROR((G16+K16+O16)*1000000/P16,"")</f>
        <v>25947.7481323372</v>
      </c>
      <c r="S16" s="13" t="n">
        <f aca="false">IFERROR(D16*1000/P16,"")</f>
        <v>5248.13233724653</v>
      </c>
    </row>
    <row r="17" customFormat="false" ht="15" hidden="false" customHeight="false" outlineLevel="0" collapsed="false">
      <c r="A17" s="12" t="n">
        <v>46119</v>
      </c>
      <c r="B17" s="13" t="n">
        <v>2</v>
      </c>
      <c r="C17" s="13" t="n">
        <v>1754</v>
      </c>
      <c r="D17" s="13" t="n">
        <v>1159.1</v>
      </c>
      <c r="E17" s="13" t="n">
        <v>14995.9</v>
      </c>
      <c r="F17" s="13" t="n">
        <v>4945</v>
      </c>
      <c r="G17" s="13" t="n">
        <f aca="false">D17*F17/1000000</f>
        <v>5.7317495</v>
      </c>
      <c r="H17" s="13" t="n">
        <v>0</v>
      </c>
      <c r="I17" s="13" t="n">
        <v>2</v>
      </c>
      <c r="J17" s="13" t="n">
        <v>48</v>
      </c>
      <c r="K17" s="13" t="n">
        <f aca="false">I17*8600/1000000</f>
        <v>0.0172</v>
      </c>
      <c r="L17" s="13" t="n">
        <v>0</v>
      </c>
      <c r="M17" s="13" t="n">
        <v>12.8</v>
      </c>
      <c r="N17" s="13" t="n">
        <v>187.2</v>
      </c>
      <c r="O17" s="13" t="n">
        <f aca="false">M17*3500/1000000</f>
        <v>0.0448</v>
      </c>
      <c r="P17" s="13" t="n">
        <v>174.7</v>
      </c>
      <c r="Q17" s="13" t="n">
        <v>7.3</v>
      </c>
      <c r="R17" s="13" t="n">
        <f aca="false">IFERROR((G17+K17+O17)*1000000/P17,"")</f>
        <v>33163.992558672</v>
      </c>
      <c r="S17" s="13" t="n">
        <f aca="false">IFERROR(D17*1000/P17,"")</f>
        <v>6634.80251860332</v>
      </c>
    </row>
    <row r="18" customFormat="false" ht="15" hidden="false" customHeight="false" outlineLevel="0" collapsed="false">
      <c r="A18" s="12" t="n">
        <v>46120</v>
      </c>
      <c r="B18" s="13" t="n">
        <v>1</v>
      </c>
      <c r="C18" s="13" t="n">
        <v>0</v>
      </c>
      <c r="D18" s="13" t="n">
        <v>1102.3</v>
      </c>
      <c r="E18" s="13" t="n">
        <v>13161.7</v>
      </c>
      <c r="F18" s="13" t="n">
        <v>4861</v>
      </c>
      <c r="G18" s="13" t="n">
        <f aca="false">D18*F18/1000000</f>
        <v>5.3582803</v>
      </c>
      <c r="H18" s="13" t="n">
        <v>0.8</v>
      </c>
      <c r="I18" s="13" t="n">
        <v>1.52</v>
      </c>
      <c r="J18" s="13" t="n">
        <v>49.28</v>
      </c>
      <c r="K18" s="13" t="n">
        <f aca="false">I18*8600/1000000</f>
        <v>0.013072</v>
      </c>
      <c r="L18" s="13" t="n">
        <v>0</v>
      </c>
      <c r="M18" s="13" t="n">
        <v>21.9</v>
      </c>
      <c r="N18" s="13" t="n">
        <v>178.1</v>
      </c>
      <c r="O18" s="13" t="n">
        <f aca="false">M18*3500/1000000</f>
        <v>0.07665</v>
      </c>
      <c r="P18" s="13" t="n">
        <v>169.2</v>
      </c>
      <c r="Q18" s="13" t="n">
        <v>7</v>
      </c>
      <c r="R18" s="13" t="n">
        <f aca="false">IFERROR((G18+K18+O18)*1000000/P18,"")</f>
        <v>32198.5951536643</v>
      </c>
      <c r="S18" s="13" t="n">
        <f aca="false">IFERROR(D18*1000/P18,"")</f>
        <v>6514.77541371158</v>
      </c>
    </row>
    <row r="19" customFormat="false" ht="15" hidden="false" customHeight="false" outlineLevel="0" collapsed="false">
      <c r="A19" s="12" t="n">
        <v>46120</v>
      </c>
      <c r="B19" s="13" t="n">
        <v>2</v>
      </c>
      <c r="C19" s="13" t="n">
        <v>0</v>
      </c>
      <c r="D19" s="13" t="n">
        <v>1038.4</v>
      </c>
      <c r="E19" s="13" t="n">
        <v>13270.6</v>
      </c>
      <c r="F19" s="13" t="n">
        <v>5012</v>
      </c>
      <c r="G19" s="13" t="n">
        <f aca="false">D19*F19/1000000</f>
        <v>5.2044608</v>
      </c>
      <c r="H19" s="13" t="n">
        <v>4.86</v>
      </c>
      <c r="I19" s="13" t="n">
        <v>1.79</v>
      </c>
      <c r="J19" s="13" t="n">
        <v>53.07</v>
      </c>
      <c r="K19" s="13" t="n">
        <f aca="false">I19*8600/1000000</f>
        <v>0.015394</v>
      </c>
      <c r="L19" s="13" t="n">
        <v>0</v>
      </c>
      <c r="M19" s="13" t="n">
        <v>10.2</v>
      </c>
      <c r="N19" s="13" t="n">
        <v>189.8</v>
      </c>
      <c r="O19" s="13" t="n">
        <f aca="false">M19*3500/1000000</f>
        <v>0.0357</v>
      </c>
      <c r="P19" s="13" t="n">
        <v>186</v>
      </c>
      <c r="Q19" s="13" t="n">
        <v>7.8</v>
      </c>
      <c r="R19" s="13" t="n">
        <f aca="false">IFERROR((G19+K19+O19)*1000000/P19,"")</f>
        <v>28255.6709677419</v>
      </c>
      <c r="S19" s="13" t="n">
        <f aca="false">IFERROR(D19*1000/P19,"")</f>
        <v>5582.79569892473</v>
      </c>
    </row>
    <row r="20" customFormat="false" ht="15" hidden="false" customHeight="false" outlineLevel="0" collapsed="false">
      <c r="A20" s="12" t="n">
        <v>46121</v>
      </c>
      <c r="B20" s="13" t="n">
        <v>1</v>
      </c>
      <c r="C20" s="13" t="n">
        <v>0</v>
      </c>
      <c r="D20" s="13" t="n">
        <v>1072.7</v>
      </c>
      <c r="E20" s="13" t="n">
        <v>13145.3</v>
      </c>
      <c r="F20" s="13" t="n">
        <v>5100</v>
      </c>
      <c r="G20" s="13" t="n">
        <f aca="false">D20*F20/1000000</f>
        <v>5.47077</v>
      </c>
      <c r="H20" s="13" t="n">
        <v>0</v>
      </c>
      <c r="I20" s="13" t="n">
        <v>1.65</v>
      </c>
      <c r="J20" s="13" t="n">
        <v>48.35</v>
      </c>
      <c r="K20" s="13" t="n">
        <f aca="false">I20*8600/1000000</f>
        <v>0.01419</v>
      </c>
      <c r="L20" s="13" t="n">
        <v>17</v>
      </c>
      <c r="M20" s="13" t="n">
        <v>15.9</v>
      </c>
      <c r="N20" s="13" t="n">
        <v>201.1</v>
      </c>
      <c r="O20" s="13" t="n">
        <f aca="false">M20*3500/1000000</f>
        <v>0.05565</v>
      </c>
      <c r="P20" s="13" t="n">
        <v>157.9</v>
      </c>
      <c r="Q20" s="13" t="n">
        <v>6.6</v>
      </c>
      <c r="R20" s="13" t="n">
        <f aca="false">IFERROR((G20+K20+O20)*1000000/P20,"")</f>
        <v>35089.3603546548</v>
      </c>
      <c r="S20" s="13" t="n">
        <f aca="false">IFERROR(D20*1000/P20,"")</f>
        <v>6793.54021532616</v>
      </c>
    </row>
    <row r="21" customFormat="false" ht="15" hidden="false" customHeight="false" outlineLevel="0" collapsed="false">
      <c r="A21" s="12" t="n">
        <v>46121</v>
      </c>
      <c r="B21" s="13" t="n">
        <v>2</v>
      </c>
      <c r="C21" s="13" t="n">
        <v>0</v>
      </c>
      <c r="D21" s="13" t="n">
        <v>801.3</v>
      </c>
      <c r="E21" s="13" t="n">
        <v>13440.7</v>
      </c>
      <c r="F21" s="13" t="n">
        <v>5150</v>
      </c>
      <c r="G21" s="13" t="n">
        <f aca="false">D21*F21/1000000</f>
        <v>4.126695</v>
      </c>
      <c r="H21" s="13" t="n">
        <v>0</v>
      </c>
      <c r="I21" s="13" t="n">
        <v>0.9</v>
      </c>
      <c r="J21" s="13" t="n">
        <v>49.1</v>
      </c>
      <c r="K21" s="13" t="n">
        <f aca="false">I21*8600/1000000</f>
        <v>0.00774</v>
      </c>
      <c r="L21" s="13" t="n">
        <v>25</v>
      </c>
      <c r="M21" s="13" t="n">
        <v>13.6</v>
      </c>
      <c r="N21" s="13" t="n">
        <v>211.4</v>
      </c>
      <c r="O21" s="13" t="n">
        <f aca="false">M21*3500/1000000</f>
        <v>0.0476</v>
      </c>
      <c r="P21" s="13" t="n">
        <v>195.6</v>
      </c>
      <c r="Q21" s="13" t="n">
        <v>8.2</v>
      </c>
      <c r="R21" s="13" t="n">
        <f aca="false">IFERROR((G21+K21+O21)*1000000/P21,"")</f>
        <v>21380.5470347648</v>
      </c>
      <c r="S21" s="13" t="n">
        <f aca="false">IFERROR(D21*1000/P21,"")</f>
        <v>4096.62576687117</v>
      </c>
    </row>
    <row r="22" customFormat="false" ht="15" hidden="false" customHeight="false" outlineLevel="0" collapsed="false">
      <c r="A22" s="12" t="n">
        <v>46122</v>
      </c>
      <c r="B22" s="13" t="n">
        <v>1</v>
      </c>
      <c r="C22" s="13" t="n">
        <v>2561</v>
      </c>
      <c r="D22" s="13" t="n">
        <v>919.4</v>
      </c>
      <c r="E22" s="13" t="n">
        <v>15772.6</v>
      </c>
      <c r="F22" s="13" t="n">
        <v>5003</v>
      </c>
      <c r="G22" s="13" t="n">
        <f aca="false">D22*F22/1000000</f>
        <v>4.5997582</v>
      </c>
      <c r="H22" s="13" t="n">
        <v>0</v>
      </c>
      <c r="I22" s="13" t="n">
        <v>0.8</v>
      </c>
      <c r="J22" s="13" t="n">
        <v>49.2</v>
      </c>
      <c r="K22" s="13" t="n">
        <f aca="false">I22*8600/1000000</f>
        <v>0.00688</v>
      </c>
      <c r="L22" s="13" t="n">
        <v>0</v>
      </c>
      <c r="M22" s="13" t="n">
        <v>17.5</v>
      </c>
      <c r="N22" s="13" t="n">
        <v>182.5</v>
      </c>
      <c r="O22" s="13" t="n">
        <f aca="false">M22*3500/1000000</f>
        <v>0.06125</v>
      </c>
      <c r="P22" s="13" t="n">
        <v>158.1</v>
      </c>
      <c r="Q22" s="13" t="n">
        <v>6.6</v>
      </c>
      <c r="R22" s="13" t="n">
        <f aca="false">IFERROR((G22+K22+O22)*1000000/P22,"")</f>
        <v>29524.9095509171</v>
      </c>
      <c r="S22" s="13" t="n">
        <f aca="false">IFERROR(D22*1000/P22,"")</f>
        <v>5815.30676786844</v>
      </c>
    </row>
    <row r="23" customFormat="false" ht="15" hidden="false" customHeight="false" outlineLevel="0" collapsed="false">
      <c r="A23" s="12" t="n">
        <v>46122</v>
      </c>
      <c r="B23" s="13" t="n">
        <v>2</v>
      </c>
      <c r="C23" s="13" t="n">
        <v>2172</v>
      </c>
      <c r="D23" s="13" t="n">
        <v>1167.4</v>
      </c>
      <c r="E23" s="13" t="n">
        <v>15130.6</v>
      </c>
      <c r="F23" s="13" t="n">
        <v>4930</v>
      </c>
      <c r="G23" s="13" t="n">
        <f aca="false">D23*F23/1000000</f>
        <v>5.755282</v>
      </c>
      <c r="H23" s="13" t="n">
        <v>0</v>
      </c>
      <c r="I23" s="13" t="n">
        <v>0.53</v>
      </c>
      <c r="J23" s="13" t="n">
        <v>49.47</v>
      </c>
      <c r="K23" s="13" t="n">
        <f aca="false">I23*8600/1000000</f>
        <v>0.004558</v>
      </c>
      <c r="L23" s="13" t="n">
        <v>0</v>
      </c>
      <c r="M23" s="13" t="n">
        <v>28.6</v>
      </c>
      <c r="N23" s="13" t="n">
        <v>171.4</v>
      </c>
      <c r="O23" s="13" t="n">
        <f aca="false">M23*3500/1000000</f>
        <v>0.1001</v>
      </c>
      <c r="P23" s="13" t="n">
        <v>193.9</v>
      </c>
      <c r="Q23" s="13" t="n">
        <v>8.1</v>
      </c>
      <c r="R23" s="13" t="n">
        <f aca="false">IFERROR((G23+K23+O23)*1000000/P23,"")</f>
        <v>30221.4543579165</v>
      </c>
      <c r="S23" s="13" t="n">
        <f aca="false">IFERROR(D23*1000/P23,"")</f>
        <v>6020.62919030428</v>
      </c>
    </row>
    <row r="24" customFormat="false" ht="15" hidden="false" customHeight="false" outlineLevel="0" collapsed="false">
      <c r="A24" s="12" t="n">
        <v>46123</v>
      </c>
      <c r="B24" s="13" t="n">
        <v>1</v>
      </c>
      <c r="C24" s="13" t="n">
        <v>0</v>
      </c>
      <c r="D24" s="13" t="n">
        <v>1132.7</v>
      </c>
      <c r="E24" s="13" t="n">
        <v>12856.3</v>
      </c>
      <c r="F24" s="13" t="n">
        <v>4896</v>
      </c>
      <c r="G24" s="13" t="n">
        <f aca="false">D24*F24/1000000</f>
        <v>5.5456992</v>
      </c>
      <c r="H24" s="13" t="n">
        <v>0</v>
      </c>
      <c r="I24" s="13" t="n">
        <v>0.86</v>
      </c>
      <c r="J24" s="13" t="n">
        <v>49.14</v>
      </c>
      <c r="K24" s="13" t="n">
        <f aca="false">I24*8600/1000000</f>
        <v>0.007396</v>
      </c>
      <c r="L24" s="13" t="n">
        <v>0</v>
      </c>
      <c r="M24" s="13" t="n">
        <v>21.3</v>
      </c>
      <c r="N24" s="13" t="n">
        <v>178.7</v>
      </c>
      <c r="O24" s="13" t="n">
        <f aca="false">M24*3500/1000000</f>
        <v>0.07455</v>
      </c>
      <c r="P24" s="13" t="n">
        <v>153.9</v>
      </c>
      <c r="Q24" s="13" t="n">
        <v>6.4</v>
      </c>
      <c r="R24" s="13" t="n">
        <f aca="false">IFERROR((G24+K24+O24)*1000000/P24,"")</f>
        <v>36566.8953866147</v>
      </c>
      <c r="S24" s="13" t="n">
        <f aca="false">IFERROR(D24*1000/P24,"")</f>
        <v>7359.97400909682</v>
      </c>
    </row>
    <row r="25" customFormat="false" ht="15" hidden="false" customHeight="false" outlineLevel="0" collapsed="false">
      <c r="A25" s="12" t="n">
        <v>46123</v>
      </c>
      <c r="B25" s="13" t="n">
        <v>2</v>
      </c>
      <c r="C25" s="13" t="n">
        <v>0</v>
      </c>
      <c r="D25" s="13" t="n">
        <v>1092.8</v>
      </c>
      <c r="E25" s="13" t="n">
        <v>12865.2</v>
      </c>
      <c r="F25" s="13" t="n">
        <v>5191</v>
      </c>
      <c r="G25" s="13" t="n">
        <f aca="false">D25*F25/1000000</f>
        <v>5.6727248</v>
      </c>
      <c r="H25" s="13" t="n">
        <v>0</v>
      </c>
      <c r="I25" s="13" t="n">
        <v>1.3</v>
      </c>
      <c r="J25" s="13" t="n">
        <v>48.7</v>
      </c>
      <c r="K25" s="13" t="n">
        <f aca="false">I25*8600/1000000</f>
        <v>0.01118</v>
      </c>
      <c r="L25" s="13" t="n">
        <v>0</v>
      </c>
      <c r="M25" s="13" t="n">
        <v>12.5</v>
      </c>
      <c r="N25" s="13" t="n">
        <v>187.5</v>
      </c>
      <c r="O25" s="13" t="n">
        <f aca="false">M25*3500/1000000</f>
        <v>0.04375</v>
      </c>
      <c r="P25" s="13" t="n">
        <v>183</v>
      </c>
      <c r="Q25" s="13" t="n">
        <v>7.6</v>
      </c>
      <c r="R25" s="13" t="n">
        <f aca="false">IFERROR((G25+K25+O25)*1000000/P25,"")</f>
        <v>31298.6601092896</v>
      </c>
      <c r="S25" s="13" t="n">
        <f aca="false">IFERROR(D25*1000/P25,"")</f>
        <v>5971.58469945355</v>
      </c>
    </row>
    <row r="26" customFormat="false" ht="15" hidden="false" customHeight="false" outlineLevel="0" collapsed="false">
      <c r="A26" s="12" t="n">
        <v>46124</v>
      </c>
      <c r="B26" s="13" t="n">
        <v>1</v>
      </c>
      <c r="C26" s="13" t="n">
        <v>0</v>
      </c>
      <c r="D26" s="13" t="n">
        <v>1178.7</v>
      </c>
      <c r="E26" s="13" t="n">
        <v>12692.3</v>
      </c>
      <c r="F26" s="13" t="n">
        <v>4906</v>
      </c>
      <c r="G26" s="13" t="n">
        <f aca="false">D26*F26/1000000</f>
        <v>5.7827022</v>
      </c>
      <c r="H26" s="13" t="n">
        <v>0</v>
      </c>
      <c r="I26" s="13" t="n">
        <v>1.81</v>
      </c>
      <c r="J26" s="13" t="n">
        <v>48.19</v>
      </c>
      <c r="K26" s="13" t="n">
        <f aca="false">I26*8600/1000000</f>
        <v>0.015566</v>
      </c>
      <c r="L26" s="13" t="n">
        <v>0</v>
      </c>
      <c r="M26" s="13" t="n">
        <v>18.5</v>
      </c>
      <c r="N26" s="13" t="n">
        <v>181.5</v>
      </c>
      <c r="O26" s="13" t="n">
        <f aca="false">M26*3500/1000000</f>
        <v>0.06475</v>
      </c>
      <c r="P26" s="13" t="n">
        <v>160.6</v>
      </c>
      <c r="Q26" s="13" t="n">
        <v>6.7</v>
      </c>
      <c r="R26" s="13" t="n">
        <f aca="false">IFERROR((G26+K26+O26)*1000000/P26,"")</f>
        <v>36506.9626400996</v>
      </c>
      <c r="S26" s="13" t="n">
        <f aca="false">IFERROR(D26*1000/P26,"")</f>
        <v>7339.35242839353</v>
      </c>
    </row>
    <row r="27" customFormat="false" ht="15" hidden="false" customHeight="false" outlineLevel="0" collapsed="false">
      <c r="A27" s="12" t="n">
        <v>46124</v>
      </c>
      <c r="B27" s="13" t="n">
        <v>2</v>
      </c>
      <c r="C27" s="13" t="n">
        <v>0</v>
      </c>
      <c r="D27" s="13" t="n">
        <v>1015.7</v>
      </c>
      <c r="E27" s="13" t="n">
        <v>12927.3</v>
      </c>
      <c r="F27" s="13" t="n">
        <v>5076</v>
      </c>
      <c r="G27" s="13" t="n">
        <f aca="false">D27*F27/1000000</f>
        <v>5.1556932</v>
      </c>
      <c r="H27" s="13" t="n">
        <v>0</v>
      </c>
      <c r="I27" s="13" t="n">
        <v>1.57</v>
      </c>
      <c r="J27" s="13" t="n">
        <v>48.43</v>
      </c>
      <c r="K27" s="13" t="n">
        <f aca="false">I27*8600/1000000</f>
        <v>0.013502</v>
      </c>
      <c r="L27" s="13" t="n">
        <v>0</v>
      </c>
      <c r="M27" s="13" t="n">
        <v>18</v>
      </c>
      <c r="N27" s="13" t="n">
        <v>182</v>
      </c>
      <c r="O27" s="13" t="n">
        <f aca="false">M27*3500/1000000</f>
        <v>0.063</v>
      </c>
      <c r="P27" s="13" t="n">
        <v>183.6</v>
      </c>
      <c r="Q27" s="13" t="n">
        <v>7.6</v>
      </c>
      <c r="R27" s="13" t="n">
        <f aca="false">IFERROR((G27+K27+O27)*1000000/P27,"")</f>
        <v>28497.7952069717</v>
      </c>
      <c r="S27" s="13" t="n">
        <f aca="false">IFERROR(D27*1000/P27,"")</f>
        <v>5532.13507625272</v>
      </c>
    </row>
    <row r="28" customFormat="false" ht="15" hidden="false" customHeight="false" outlineLevel="0" collapsed="false">
      <c r="A28" s="12" t="n">
        <v>46125</v>
      </c>
      <c r="B28" s="13" t="n">
        <v>1</v>
      </c>
      <c r="C28" s="13" t="n">
        <v>1529</v>
      </c>
      <c r="D28" s="13" t="n">
        <v>975.2</v>
      </c>
      <c r="E28" s="13" t="n">
        <v>14369.8</v>
      </c>
      <c r="F28" s="13" t="n">
        <v>4981</v>
      </c>
      <c r="G28" s="13" t="n">
        <f aca="false">D28*F28/1000000</f>
        <v>4.8574712</v>
      </c>
      <c r="H28" s="13" t="n">
        <v>0</v>
      </c>
      <c r="I28" s="13" t="n">
        <v>0.87</v>
      </c>
      <c r="J28" s="13" t="n">
        <v>49.13</v>
      </c>
      <c r="K28" s="13" t="n">
        <f aca="false">I28*8600/1000000</f>
        <v>0.007482</v>
      </c>
      <c r="L28" s="13" t="n">
        <v>3.2</v>
      </c>
      <c r="M28" s="13" t="n">
        <v>10.4</v>
      </c>
      <c r="N28" s="13" t="n">
        <v>192.8</v>
      </c>
      <c r="O28" s="13" t="n">
        <f aca="false">M28*3500/1000000</f>
        <v>0.0364</v>
      </c>
      <c r="P28" s="13" t="n">
        <v>177.7</v>
      </c>
      <c r="Q28" s="13" t="n">
        <v>7.4</v>
      </c>
      <c r="R28" s="13" t="n">
        <f aca="false">IFERROR((G28+K28+O28)*1000000/P28,"")</f>
        <v>27582.1789532921</v>
      </c>
      <c r="S28" s="13" t="n">
        <f aca="false">IFERROR(D28*1000/P28,"")</f>
        <v>5487.90095666854</v>
      </c>
    </row>
    <row r="29" customFormat="false" ht="15" hidden="false" customHeight="false" outlineLevel="0" collapsed="false">
      <c r="A29" s="12" t="n">
        <v>46125</v>
      </c>
      <c r="B29" s="13" t="n">
        <v>2</v>
      </c>
      <c r="C29" s="13" t="n">
        <v>2410</v>
      </c>
      <c r="D29" s="13" t="n">
        <v>888.1</v>
      </c>
      <c r="E29" s="13" t="n">
        <v>15280.9</v>
      </c>
      <c r="F29" s="13" t="n">
        <v>5083</v>
      </c>
      <c r="G29" s="13" t="n">
        <f aca="false">D29*F29/1000000</f>
        <v>4.5142123</v>
      </c>
      <c r="H29" s="13" t="n">
        <v>0</v>
      </c>
      <c r="I29" s="13" t="n">
        <v>0.59</v>
      </c>
      <c r="J29" s="13" t="n">
        <v>49.41</v>
      </c>
      <c r="K29" s="13" t="n">
        <f aca="false">I29*8600/1000000</f>
        <v>0.005074</v>
      </c>
      <c r="L29" s="13" t="n">
        <v>3.4</v>
      </c>
      <c r="M29" s="13" t="n">
        <v>10.6</v>
      </c>
      <c r="N29" s="13" t="n">
        <v>192.8</v>
      </c>
      <c r="O29" s="13" t="n">
        <f aca="false">M29*3500/1000000</f>
        <v>0.0371</v>
      </c>
      <c r="P29" s="13" t="n">
        <v>166.5</v>
      </c>
      <c r="Q29" s="13" t="n">
        <v>6.9</v>
      </c>
      <c r="R29" s="13" t="n">
        <f aca="false">IFERROR((G29+K29+O29)*1000000/P29,"")</f>
        <v>27365.6834834835</v>
      </c>
      <c r="S29" s="13" t="n">
        <f aca="false">IFERROR(D29*1000/P29,"")</f>
        <v>5333.93393393393</v>
      </c>
    </row>
    <row r="30" customFormat="false" ht="15" hidden="false" customHeight="false" outlineLevel="0" collapsed="false">
      <c r="A30" s="12" t="n">
        <v>46126</v>
      </c>
      <c r="B30" s="13" t="n">
        <v>1</v>
      </c>
      <c r="C30" s="13" t="n">
        <v>0</v>
      </c>
      <c r="D30" s="13" t="n">
        <v>1005.7</v>
      </c>
      <c r="E30" s="13" t="n">
        <v>12679.3</v>
      </c>
      <c r="F30" s="13" t="n">
        <v>5068</v>
      </c>
      <c r="G30" s="13" t="n">
        <f aca="false">D30*F30/1000000</f>
        <v>5.0968876</v>
      </c>
      <c r="H30" s="13" t="n">
        <v>0</v>
      </c>
      <c r="I30" s="13" t="n">
        <v>0.82</v>
      </c>
      <c r="J30" s="13" t="n">
        <v>49.18</v>
      </c>
      <c r="K30" s="13" t="n">
        <f aca="false">I30*8600/1000000</f>
        <v>0.007052</v>
      </c>
      <c r="L30" s="13" t="n">
        <v>0</v>
      </c>
      <c r="M30" s="13" t="n">
        <v>12.6</v>
      </c>
      <c r="N30" s="13" t="n">
        <v>187.4</v>
      </c>
      <c r="O30" s="13" t="n">
        <f aca="false">M30*3500/1000000</f>
        <v>0.0441</v>
      </c>
      <c r="P30" s="13" t="n">
        <v>196.8</v>
      </c>
      <c r="Q30" s="13" t="n">
        <v>8.2</v>
      </c>
      <c r="R30" s="13" t="n">
        <f aca="false">IFERROR((G30+K30+O30)*1000000/P30,"")</f>
        <v>26158.7378048781</v>
      </c>
      <c r="S30" s="13" t="n">
        <f aca="false">IFERROR(D30*1000/P30,"")</f>
        <v>5110.26422764228</v>
      </c>
    </row>
    <row r="31" customFormat="false" ht="15" hidden="false" customHeight="false" outlineLevel="0" collapsed="false">
      <c r="A31" s="12" t="n">
        <v>46126</v>
      </c>
      <c r="B31" s="13" t="n">
        <v>2</v>
      </c>
      <c r="C31" s="13" t="n">
        <v>0</v>
      </c>
      <c r="D31" s="13" t="n">
        <v>1028.4</v>
      </c>
      <c r="E31" s="13" t="n">
        <v>12681.6</v>
      </c>
      <c r="F31" s="13" t="n">
        <v>4897</v>
      </c>
      <c r="G31" s="13" t="n">
        <f aca="false">D31*F31/1000000</f>
        <v>5.0360748</v>
      </c>
      <c r="H31" s="13" t="n">
        <v>0</v>
      </c>
      <c r="I31" s="13" t="n">
        <v>1.21</v>
      </c>
      <c r="J31" s="13" t="n">
        <v>48.79</v>
      </c>
      <c r="K31" s="13" t="n">
        <f aca="false">I31*8600/1000000</f>
        <v>0.010406</v>
      </c>
      <c r="L31" s="13" t="n">
        <v>0</v>
      </c>
      <c r="M31" s="13" t="n">
        <v>18.1</v>
      </c>
      <c r="N31" s="13" t="n">
        <v>181.9</v>
      </c>
      <c r="O31" s="13" t="n">
        <f aca="false">M31*3500/1000000</f>
        <v>0.06335</v>
      </c>
      <c r="P31" s="13" t="n">
        <v>154.7</v>
      </c>
      <c r="Q31" s="13" t="n">
        <v>6.4</v>
      </c>
      <c r="R31" s="13" t="n">
        <f aca="false">IFERROR((G31+K31+O31)*1000000/P31,"")</f>
        <v>33030.5804783452</v>
      </c>
      <c r="S31" s="13" t="n">
        <f aca="false">IFERROR(D31*1000/P31,"")</f>
        <v>6647.70523594053</v>
      </c>
    </row>
    <row r="32" customFormat="false" ht="15" hidden="false" customHeight="false" outlineLevel="0" collapsed="false">
      <c r="A32" s="12" t="n">
        <v>46127</v>
      </c>
      <c r="B32" s="13" t="n">
        <v>1</v>
      </c>
      <c r="C32" s="13" t="n">
        <v>0</v>
      </c>
      <c r="D32" s="13" t="n">
        <v>1063.6</v>
      </c>
      <c r="E32" s="13" t="n">
        <v>12531.4</v>
      </c>
      <c r="F32" s="13" t="n">
        <v>4969</v>
      </c>
      <c r="G32" s="13" t="n">
        <f aca="false">D32*F32/1000000</f>
        <v>5.2850284</v>
      </c>
      <c r="H32" s="13" t="n">
        <v>2.34</v>
      </c>
      <c r="I32" s="13" t="n">
        <v>1.59</v>
      </c>
      <c r="J32" s="13" t="n">
        <v>50.75</v>
      </c>
      <c r="K32" s="13" t="n">
        <f aca="false">I32*8600/1000000</f>
        <v>0.013674</v>
      </c>
      <c r="L32" s="13" t="n">
        <v>0</v>
      </c>
      <c r="M32" s="13" t="n">
        <v>23.5</v>
      </c>
      <c r="N32" s="13" t="n">
        <v>176.5</v>
      </c>
      <c r="O32" s="13" t="n">
        <f aca="false">M32*3500/1000000</f>
        <v>0.08225</v>
      </c>
      <c r="P32" s="13" t="n">
        <v>199.2</v>
      </c>
      <c r="Q32" s="13" t="n">
        <v>8.3</v>
      </c>
      <c r="R32" s="13" t="n">
        <f aca="false">IFERROR((G32+K32+O32)*1000000/P32,"")</f>
        <v>27012.8132530121</v>
      </c>
      <c r="S32" s="13" t="n">
        <f aca="false">IFERROR(D32*1000/P32,"")</f>
        <v>5339.35742971888</v>
      </c>
    </row>
    <row r="33" customFormat="false" ht="15" hidden="false" customHeight="false" outlineLevel="0" collapsed="false">
      <c r="A33" s="12" t="n">
        <v>46127</v>
      </c>
      <c r="B33" s="13" t="n">
        <v>2</v>
      </c>
      <c r="C33" s="13" t="n">
        <v>0</v>
      </c>
      <c r="D33" s="13" t="n">
        <v>839.4</v>
      </c>
      <c r="E33" s="13" t="n">
        <v>12761.6</v>
      </c>
      <c r="F33" s="13" t="n">
        <v>5091</v>
      </c>
      <c r="G33" s="13" t="n">
        <f aca="false">D33*F33/1000000</f>
        <v>4.2733854</v>
      </c>
      <c r="H33" s="13" t="n">
        <v>4</v>
      </c>
      <c r="I33" s="13" t="n">
        <v>0.66</v>
      </c>
      <c r="J33" s="13" t="n">
        <v>53.34</v>
      </c>
      <c r="K33" s="13" t="n">
        <f aca="false">I33*8600/1000000</f>
        <v>0.005676</v>
      </c>
      <c r="L33" s="13" t="n">
        <v>0</v>
      </c>
      <c r="M33" s="13" t="n">
        <v>13.8</v>
      </c>
      <c r="N33" s="13" t="n">
        <v>186.2</v>
      </c>
      <c r="O33" s="13" t="n">
        <f aca="false">M33*3500/1000000</f>
        <v>0.0483</v>
      </c>
      <c r="P33" s="13" t="n">
        <v>176.8</v>
      </c>
      <c r="Q33" s="13" t="n">
        <v>7.4</v>
      </c>
      <c r="R33" s="13" t="n">
        <f aca="false">IFERROR((G33+K33+O33)*1000000/P33,"")</f>
        <v>24476.0260180995</v>
      </c>
      <c r="S33" s="13" t="n">
        <f aca="false">IFERROR(D33*1000/P33,"")</f>
        <v>4747.73755656109</v>
      </c>
    </row>
    <row r="34" customFormat="false" ht="15" hidden="false" customHeight="false" outlineLevel="0" collapsed="false">
      <c r="A34" s="12" t="n">
        <v>46128</v>
      </c>
      <c r="B34" s="13" t="n">
        <v>1</v>
      </c>
      <c r="C34" s="13" t="n">
        <v>574</v>
      </c>
      <c r="D34" s="13" t="n">
        <v>968.8</v>
      </c>
      <c r="E34" s="13" t="n">
        <v>13090.2</v>
      </c>
      <c r="F34" s="13" t="n">
        <v>4985</v>
      </c>
      <c r="G34" s="13" t="n">
        <f aca="false">D34*F34/1000000</f>
        <v>4.829468</v>
      </c>
      <c r="H34" s="13" t="n">
        <v>0</v>
      </c>
      <c r="I34" s="13" t="n">
        <v>1.81</v>
      </c>
      <c r="J34" s="13" t="n">
        <v>48.19</v>
      </c>
      <c r="K34" s="13" t="n">
        <f aca="false">I34*8600/1000000</f>
        <v>0.015566</v>
      </c>
      <c r="L34" s="13" t="n">
        <v>0</v>
      </c>
      <c r="M34" s="13" t="n">
        <v>11.5</v>
      </c>
      <c r="N34" s="13" t="n">
        <v>188.5</v>
      </c>
      <c r="O34" s="13" t="n">
        <f aca="false">M34*3500/1000000</f>
        <v>0.04025</v>
      </c>
      <c r="P34" s="13" t="n">
        <v>190.4</v>
      </c>
      <c r="Q34" s="13" t="n">
        <v>7.9</v>
      </c>
      <c r="R34" s="13" t="n">
        <f aca="false">IFERROR((G34+K34+O34)*1000000/P34,"")</f>
        <v>25658.0042016807</v>
      </c>
      <c r="S34" s="13" t="n">
        <f aca="false">IFERROR(D34*1000/P34,"")</f>
        <v>5088.23529411765</v>
      </c>
    </row>
    <row r="35" customFormat="false" ht="15" hidden="false" customHeight="false" outlineLevel="0" collapsed="false">
      <c r="A35" s="12" t="n">
        <v>46128</v>
      </c>
      <c r="B35" s="13" t="n">
        <v>2</v>
      </c>
      <c r="C35" s="13" t="n">
        <v>2254</v>
      </c>
      <c r="D35" s="13" t="n">
        <v>839.2</v>
      </c>
      <c r="E35" s="13" t="n">
        <v>14947.8</v>
      </c>
      <c r="F35" s="13" t="n">
        <v>5200</v>
      </c>
      <c r="G35" s="13" t="n">
        <f aca="false">D35*F35/1000000</f>
        <v>4.36384</v>
      </c>
      <c r="H35" s="13" t="n">
        <v>0</v>
      </c>
      <c r="I35" s="13" t="n">
        <v>1.75</v>
      </c>
      <c r="J35" s="13" t="n">
        <v>48.25</v>
      </c>
      <c r="K35" s="13" t="n">
        <f aca="false">I35*8600/1000000</f>
        <v>0.01505</v>
      </c>
      <c r="L35" s="13" t="n">
        <v>0</v>
      </c>
      <c r="M35" s="13" t="n">
        <v>29.4</v>
      </c>
      <c r="N35" s="13" t="n">
        <v>170.6</v>
      </c>
      <c r="O35" s="13" t="n">
        <f aca="false">M35*3500/1000000</f>
        <v>0.1029</v>
      </c>
      <c r="P35" s="13" t="n">
        <v>196.3</v>
      </c>
      <c r="Q35" s="13" t="n">
        <v>8.2</v>
      </c>
      <c r="R35" s="13" t="n">
        <f aca="false">IFERROR((G35+K35+O35)*1000000/P35,"")</f>
        <v>22831.3295975548</v>
      </c>
      <c r="S35" s="13" t="n">
        <f aca="false">IFERROR(D35*1000/P35,"")</f>
        <v>4275.08914926134</v>
      </c>
    </row>
    <row r="36" customFormat="false" ht="15" hidden="false" customHeight="false" outlineLevel="0" collapsed="false">
      <c r="A36" s="12" t="n">
        <v>46129</v>
      </c>
      <c r="B36" s="13" t="n">
        <v>1</v>
      </c>
      <c r="C36" s="13" t="n">
        <v>0</v>
      </c>
      <c r="D36" s="13" t="n">
        <v>1139.5</v>
      </c>
      <c r="E36" s="13" t="n">
        <v>12231.5</v>
      </c>
      <c r="F36" s="13" t="n">
        <v>4963</v>
      </c>
      <c r="G36" s="13" t="n">
        <f aca="false">D36*F36/1000000</f>
        <v>5.6553385</v>
      </c>
      <c r="H36" s="13" t="n">
        <v>0</v>
      </c>
      <c r="I36" s="13" t="n">
        <v>1.22</v>
      </c>
      <c r="J36" s="13" t="n">
        <v>48.78</v>
      </c>
      <c r="K36" s="13" t="n">
        <f aca="false">I36*8600/1000000</f>
        <v>0.010492</v>
      </c>
      <c r="L36" s="13" t="n">
        <v>43.2</v>
      </c>
      <c r="M36" s="13" t="n">
        <v>28</v>
      </c>
      <c r="N36" s="13" t="n">
        <v>215.2</v>
      </c>
      <c r="O36" s="13" t="n">
        <f aca="false">M36*3500/1000000</f>
        <v>0.098</v>
      </c>
      <c r="P36" s="13" t="n">
        <v>158.2</v>
      </c>
      <c r="Q36" s="13" t="n">
        <v>6.6</v>
      </c>
      <c r="R36" s="13" t="n">
        <f aca="false">IFERROR((G36+K36+O36)*1000000/P36,"")</f>
        <v>36433.8211125158</v>
      </c>
      <c r="S36" s="13" t="n">
        <f aca="false">IFERROR(D36*1000/P36,"")</f>
        <v>7202.90771175727</v>
      </c>
    </row>
    <row r="37" customFormat="false" ht="15" hidden="false" customHeight="false" outlineLevel="0" collapsed="false">
      <c r="A37" s="12" t="n">
        <v>46129</v>
      </c>
      <c r="B37" s="13" t="n">
        <v>2</v>
      </c>
      <c r="C37" s="13" t="n">
        <v>0</v>
      </c>
      <c r="D37" s="13" t="n">
        <v>800.9</v>
      </c>
      <c r="E37" s="13" t="n">
        <v>12598.1</v>
      </c>
      <c r="F37" s="13" t="n">
        <v>4906</v>
      </c>
      <c r="G37" s="13" t="n">
        <f aca="false">D37*F37/1000000</f>
        <v>3.9292154</v>
      </c>
      <c r="H37" s="13" t="n">
        <v>0</v>
      </c>
      <c r="I37" s="13" t="n">
        <v>1.68</v>
      </c>
      <c r="J37" s="13" t="n">
        <v>48.32</v>
      </c>
      <c r="K37" s="13" t="n">
        <f aca="false">I37*8600/1000000</f>
        <v>0.014448</v>
      </c>
      <c r="L37" s="13" t="n">
        <v>22.8</v>
      </c>
      <c r="M37" s="13" t="n">
        <v>18.5</v>
      </c>
      <c r="N37" s="13" t="n">
        <v>204.3</v>
      </c>
      <c r="O37" s="13" t="n">
        <f aca="false">M37*3500/1000000</f>
        <v>0.06475</v>
      </c>
      <c r="P37" s="13" t="n">
        <v>197.9</v>
      </c>
      <c r="Q37" s="13" t="n">
        <v>8.2</v>
      </c>
      <c r="R37" s="13" t="n">
        <f aca="false">IFERROR((G37+K37+O37)*1000000/P37,"")</f>
        <v>20254.7417887822</v>
      </c>
      <c r="S37" s="13" t="n">
        <f aca="false">IFERROR(D37*1000/P37,"")</f>
        <v>4046.99343102577</v>
      </c>
    </row>
    <row r="38" customFormat="false" ht="15" hidden="false" customHeight="false" outlineLevel="0" collapsed="false">
      <c r="A38" s="12" t="n">
        <v>46130</v>
      </c>
      <c r="B38" s="13" t="n">
        <v>1</v>
      </c>
      <c r="C38" s="13" t="n">
        <v>0</v>
      </c>
      <c r="D38" s="13" t="n">
        <v>1198.2</v>
      </c>
      <c r="E38" s="13" t="n">
        <v>12122.8</v>
      </c>
      <c r="F38" s="13" t="n">
        <v>5065</v>
      </c>
      <c r="G38" s="13" t="n">
        <f aca="false">D38*F38/1000000</f>
        <v>6.068883</v>
      </c>
      <c r="H38" s="13" t="n">
        <v>0</v>
      </c>
      <c r="I38" s="13" t="n">
        <v>1.23</v>
      </c>
      <c r="J38" s="13" t="n">
        <v>48.77</v>
      </c>
      <c r="K38" s="13" t="n">
        <f aca="false">I38*8600/1000000</f>
        <v>0.010578</v>
      </c>
      <c r="L38" s="13" t="n">
        <v>0</v>
      </c>
      <c r="M38" s="13" t="n">
        <v>13.8</v>
      </c>
      <c r="N38" s="13" t="n">
        <v>186.2</v>
      </c>
      <c r="O38" s="13" t="n">
        <f aca="false">M38*3500/1000000</f>
        <v>0.0483</v>
      </c>
      <c r="P38" s="13" t="n">
        <v>160.9</v>
      </c>
      <c r="Q38" s="13" t="n">
        <v>6.7</v>
      </c>
      <c r="R38" s="13" t="n">
        <f aca="false">IFERROR((G38+K38+O38)*1000000/P38,"")</f>
        <v>38084.2821628341</v>
      </c>
      <c r="S38" s="13" t="n">
        <f aca="false">IFERROR(D38*1000/P38,"")</f>
        <v>7446.86140459913</v>
      </c>
    </row>
    <row r="39" customFormat="false" ht="15" hidden="false" customHeight="false" outlineLevel="0" collapsed="false">
      <c r="A39" s="12" t="n">
        <v>46130</v>
      </c>
      <c r="B39" s="13" t="n">
        <v>2</v>
      </c>
      <c r="C39" s="13" t="n">
        <v>0</v>
      </c>
      <c r="D39" s="13" t="n">
        <v>823.4</v>
      </c>
      <c r="E39" s="13" t="n">
        <v>12520.6</v>
      </c>
      <c r="F39" s="13" t="n">
        <v>5017</v>
      </c>
      <c r="G39" s="13" t="n">
        <f aca="false">D39*F39/1000000</f>
        <v>4.1309978</v>
      </c>
      <c r="H39" s="13" t="n">
        <v>0</v>
      </c>
      <c r="I39" s="13" t="n">
        <v>1.62</v>
      </c>
      <c r="J39" s="13" t="n">
        <v>48.38</v>
      </c>
      <c r="K39" s="13" t="n">
        <f aca="false">I39*8600/1000000</f>
        <v>0.013932</v>
      </c>
      <c r="L39" s="13" t="n">
        <v>0</v>
      </c>
      <c r="M39" s="13" t="n">
        <v>11.1</v>
      </c>
      <c r="N39" s="13" t="n">
        <v>188.9</v>
      </c>
      <c r="O39" s="13" t="n">
        <f aca="false">M39*3500/1000000</f>
        <v>0.03885</v>
      </c>
      <c r="P39" s="13" t="n">
        <v>179.2</v>
      </c>
      <c r="Q39" s="13" t="n">
        <v>7.5</v>
      </c>
      <c r="R39" s="13" t="n">
        <f aca="false">IFERROR((G39+K39+O39)*1000000/P39,"")</f>
        <v>23346.9854910714</v>
      </c>
      <c r="S39" s="13" t="n">
        <f aca="false">IFERROR(D39*1000/P39,"")</f>
        <v>4594.86607142857</v>
      </c>
    </row>
    <row r="40" customFormat="false" ht="15" hidden="false" customHeight="false" outlineLevel="0" collapsed="false">
      <c r="A40" s="12" t="n">
        <v>46131</v>
      </c>
      <c r="B40" s="13" t="n">
        <v>1</v>
      </c>
      <c r="C40" s="13" t="n">
        <v>2059</v>
      </c>
      <c r="D40" s="13" t="n">
        <v>1167.8</v>
      </c>
      <c r="E40" s="13" t="n">
        <v>14108.2</v>
      </c>
      <c r="F40" s="13" t="n">
        <v>4863</v>
      </c>
      <c r="G40" s="13" t="n">
        <f aca="false">D40*F40/1000000</f>
        <v>5.6790114</v>
      </c>
      <c r="H40" s="13" t="n">
        <v>0</v>
      </c>
      <c r="I40" s="13" t="n">
        <v>1.94</v>
      </c>
      <c r="J40" s="13" t="n">
        <v>48.06</v>
      </c>
      <c r="K40" s="13" t="n">
        <f aca="false">I40*8600/1000000</f>
        <v>0.016684</v>
      </c>
      <c r="L40" s="13" t="n">
        <v>0</v>
      </c>
      <c r="M40" s="13" t="n">
        <v>11.6</v>
      </c>
      <c r="N40" s="13" t="n">
        <v>188.4</v>
      </c>
      <c r="O40" s="13" t="n">
        <f aca="false">M40*3500/1000000</f>
        <v>0.0406</v>
      </c>
      <c r="P40" s="13" t="n">
        <v>159.3</v>
      </c>
      <c r="Q40" s="13" t="n">
        <v>6.6</v>
      </c>
      <c r="R40" s="13" t="n">
        <f aca="false">IFERROR((G40+K40+O40)*1000000/P40,"")</f>
        <v>36009.3873195229</v>
      </c>
      <c r="S40" s="13" t="n">
        <f aca="false">IFERROR(D40*1000/P40,"")</f>
        <v>7330.8223477715</v>
      </c>
    </row>
    <row r="41" customFormat="false" ht="15" hidden="false" customHeight="false" outlineLevel="0" collapsed="false">
      <c r="A41" s="12" t="n">
        <v>46131</v>
      </c>
      <c r="B41" s="13" t="n">
        <v>2</v>
      </c>
      <c r="C41" s="13" t="n">
        <v>2437</v>
      </c>
      <c r="D41" s="13" t="n">
        <v>827.2</v>
      </c>
      <c r="E41" s="13" t="n">
        <v>14789.8</v>
      </c>
      <c r="F41" s="13" t="n">
        <v>4962</v>
      </c>
      <c r="G41" s="13" t="n">
        <f aca="false">D41*F41/1000000</f>
        <v>4.1045664</v>
      </c>
      <c r="H41" s="13" t="n">
        <v>0</v>
      </c>
      <c r="I41" s="13" t="n">
        <v>1.91</v>
      </c>
      <c r="J41" s="13" t="n">
        <v>48.09</v>
      </c>
      <c r="K41" s="13" t="n">
        <f aca="false">I41*8600/1000000</f>
        <v>0.016426</v>
      </c>
      <c r="L41" s="13" t="n">
        <v>0</v>
      </c>
      <c r="M41" s="13" t="n">
        <v>21.4</v>
      </c>
      <c r="N41" s="13" t="n">
        <v>178.6</v>
      </c>
      <c r="O41" s="13" t="n">
        <f aca="false">M41*3500/1000000</f>
        <v>0.0749</v>
      </c>
      <c r="P41" s="13" t="n">
        <v>178.9</v>
      </c>
      <c r="Q41" s="13" t="n">
        <v>7.5</v>
      </c>
      <c r="R41" s="13" t="n">
        <f aca="false">IFERROR((G41+K41+O41)*1000000/P41,"")</f>
        <v>23453.8423700391</v>
      </c>
      <c r="S41" s="13" t="n">
        <f aca="false">IFERROR(D41*1000/P41,"")</f>
        <v>4623.81218557854</v>
      </c>
    </row>
    <row r="42" customFormat="false" ht="15" hidden="false" customHeight="false" outlineLevel="0" collapsed="false">
      <c r="A42" s="12" t="n">
        <v>46132</v>
      </c>
      <c r="B42" s="13" t="n">
        <v>1</v>
      </c>
      <c r="C42" s="13" t="n">
        <v>0</v>
      </c>
      <c r="D42" s="13" t="n">
        <v>815.9</v>
      </c>
      <c r="E42" s="13" t="n">
        <v>12244.1</v>
      </c>
      <c r="F42" s="13" t="n">
        <v>4968</v>
      </c>
      <c r="G42" s="13" t="n">
        <f aca="false">D42*F42/1000000</f>
        <v>4.0533912</v>
      </c>
      <c r="H42" s="13" t="n">
        <v>0</v>
      </c>
      <c r="I42" s="13" t="n">
        <v>1.38</v>
      </c>
      <c r="J42" s="13" t="n">
        <v>48.62</v>
      </c>
      <c r="K42" s="13" t="n">
        <f aca="false">I42*8600/1000000</f>
        <v>0.011868</v>
      </c>
      <c r="L42" s="13" t="n">
        <v>0</v>
      </c>
      <c r="M42" s="13" t="n">
        <v>20.5</v>
      </c>
      <c r="N42" s="13" t="n">
        <v>179.5</v>
      </c>
      <c r="O42" s="13" t="n">
        <f aca="false">M42*3500/1000000</f>
        <v>0.07175</v>
      </c>
      <c r="P42" s="13" t="n">
        <v>196.7</v>
      </c>
      <c r="Q42" s="13" t="n">
        <v>8.2</v>
      </c>
      <c r="R42" s="13" t="n">
        <f aca="false">IFERROR((G42+K42+O42)*1000000/P42,"")</f>
        <v>21032.0752414845</v>
      </c>
      <c r="S42" s="13" t="n">
        <f aca="false">IFERROR(D42*1000/P42,"")</f>
        <v>4147.94102694459</v>
      </c>
    </row>
    <row r="43" customFormat="false" ht="15" hidden="false" customHeight="false" outlineLevel="0" collapsed="false">
      <c r="A43" s="12" t="n">
        <v>46132</v>
      </c>
      <c r="B43" s="13" t="n">
        <v>2</v>
      </c>
      <c r="C43" s="13" t="n">
        <v>0</v>
      </c>
      <c r="D43" s="13" t="n">
        <v>881.7</v>
      </c>
      <c r="E43" s="13" t="n">
        <v>12259.3</v>
      </c>
      <c r="F43" s="13" t="n">
        <v>4926</v>
      </c>
      <c r="G43" s="13" t="n">
        <f aca="false">D43*F43/1000000</f>
        <v>4.3432542</v>
      </c>
      <c r="H43" s="13" t="n">
        <v>0</v>
      </c>
      <c r="I43" s="13" t="n">
        <v>0.9</v>
      </c>
      <c r="J43" s="13" t="n">
        <v>49.1</v>
      </c>
      <c r="K43" s="13" t="n">
        <f aca="false">I43*8600/1000000</f>
        <v>0.00774</v>
      </c>
      <c r="L43" s="13" t="n">
        <v>0</v>
      </c>
      <c r="M43" s="13" t="n">
        <v>12.6</v>
      </c>
      <c r="N43" s="13" t="n">
        <v>187.4</v>
      </c>
      <c r="O43" s="13" t="n">
        <f aca="false">M43*3500/1000000</f>
        <v>0.0441</v>
      </c>
      <c r="P43" s="13" t="n">
        <v>182.3</v>
      </c>
      <c r="Q43" s="13" t="n">
        <v>7.6</v>
      </c>
      <c r="R43" s="13" t="n">
        <f aca="false">IFERROR((G43+K43+O43)*1000000/P43,"")</f>
        <v>24109.1289083928</v>
      </c>
      <c r="S43" s="13" t="n">
        <f aca="false">IFERROR(D43*1000/P43,"")</f>
        <v>4836.53318705431</v>
      </c>
    </row>
    <row r="44" customFormat="false" ht="15" hidden="false" customHeight="false" outlineLevel="0" collapsed="false">
      <c r="A44" s="12" t="n">
        <v>46133</v>
      </c>
      <c r="B44" s="13" t="n">
        <v>1</v>
      </c>
      <c r="C44" s="13" t="n">
        <v>0</v>
      </c>
      <c r="D44" s="13" t="n">
        <v>982.9</v>
      </c>
      <c r="E44" s="13" t="n">
        <v>12063.1</v>
      </c>
      <c r="F44" s="13" t="n">
        <v>5174</v>
      </c>
      <c r="G44" s="13" t="n">
        <f aca="false">D44*F44/1000000</f>
        <v>5.0855246</v>
      </c>
      <c r="H44" s="13" t="n">
        <v>0</v>
      </c>
      <c r="I44" s="13" t="n">
        <v>0.51</v>
      </c>
      <c r="J44" s="13" t="n">
        <v>49.49</v>
      </c>
      <c r="K44" s="13" t="n">
        <f aca="false">I44*8600/1000000</f>
        <v>0.004386</v>
      </c>
      <c r="L44" s="13" t="n">
        <v>31.1</v>
      </c>
      <c r="M44" s="13" t="n">
        <v>21.3</v>
      </c>
      <c r="N44" s="13" t="n">
        <v>209.8</v>
      </c>
      <c r="O44" s="13" t="n">
        <f aca="false">M44*3500/1000000</f>
        <v>0.07455</v>
      </c>
      <c r="P44" s="13" t="n">
        <v>155</v>
      </c>
      <c r="Q44" s="13" t="n">
        <v>6.5</v>
      </c>
      <c r="R44" s="13" t="n">
        <f aca="false">IFERROR((G44+K44+O44)*1000000/P44,"")</f>
        <v>33319.1006451613</v>
      </c>
      <c r="S44" s="13" t="n">
        <f aca="false">IFERROR(D44*1000/P44,"")</f>
        <v>6341.29032258065</v>
      </c>
    </row>
    <row r="45" customFormat="false" ht="15" hidden="false" customHeight="false" outlineLevel="0" collapsed="false">
      <c r="A45" s="12" t="n">
        <v>46133</v>
      </c>
      <c r="B45" s="13" t="n">
        <v>2</v>
      </c>
      <c r="C45" s="13" t="n">
        <v>0</v>
      </c>
      <c r="D45" s="13" t="n">
        <v>1015.1</v>
      </c>
      <c r="E45" s="13" t="n">
        <v>11998.9</v>
      </c>
      <c r="F45" s="13" t="n">
        <v>4906</v>
      </c>
      <c r="G45" s="13" t="n">
        <f aca="false">D45*F45/1000000</f>
        <v>4.9800806</v>
      </c>
      <c r="H45" s="13" t="n">
        <v>0</v>
      </c>
      <c r="I45" s="13" t="n">
        <v>1.9</v>
      </c>
      <c r="J45" s="13" t="n">
        <v>48.1</v>
      </c>
      <c r="K45" s="13" t="n">
        <f aca="false">I45*8600/1000000</f>
        <v>0.01634</v>
      </c>
      <c r="L45" s="13" t="n">
        <v>44</v>
      </c>
      <c r="M45" s="13" t="n">
        <v>27.6</v>
      </c>
      <c r="N45" s="13" t="n">
        <v>216.4</v>
      </c>
      <c r="O45" s="13" t="n">
        <f aca="false">M45*3500/1000000</f>
        <v>0.0966</v>
      </c>
      <c r="P45" s="13" t="n">
        <v>168.5</v>
      </c>
      <c r="Q45" s="13" t="n">
        <v>7</v>
      </c>
      <c r="R45" s="13" t="n">
        <f aca="false">IFERROR((G45+K45+O45)*1000000/P45,"")</f>
        <v>30225.6415430267</v>
      </c>
      <c r="S45" s="13" t="n">
        <f aca="false">IFERROR(D45*1000/P45,"")</f>
        <v>6024.33234421365</v>
      </c>
    </row>
    <row r="46" customFormat="false" ht="15" hidden="false" customHeight="false" outlineLevel="0" collapsed="false">
      <c r="A46" s="12" t="n">
        <v>46134</v>
      </c>
      <c r="B46" s="13" t="n">
        <v>1</v>
      </c>
      <c r="C46" s="13" t="n">
        <v>646</v>
      </c>
      <c r="D46" s="13" t="n">
        <v>975.3</v>
      </c>
      <c r="E46" s="13" t="n">
        <v>12589.7</v>
      </c>
      <c r="F46" s="13" t="n">
        <v>5081</v>
      </c>
      <c r="G46" s="13" t="n">
        <f aca="false">D46*F46/1000000</f>
        <v>4.9554993</v>
      </c>
      <c r="H46" s="13" t="n">
        <v>3.06</v>
      </c>
      <c r="I46" s="13" t="n">
        <v>1.98</v>
      </c>
      <c r="J46" s="13" t="n">
        <v>51.08</v>
      </c>
      <c r="K46" s="13" t="n">
        <f aca="false">I46*8600/1000000</f>
        <v>0.017028</v>
      </c>
      <c r="L46" s="13" t="n">
        <v>0</v>
      </c>
      <c r="M46" s="13" t="n">
        <v>23.1</v>
      </c>
      <c r="N46" s="13" t="n">
        <v>176.9</v>
      </c>
      <c r="O46" s="13" t="n">
        <f aca="false">M46*3500/1000000</f>
        <v>0.08085</v>
      </c>
      <c r="P46" s="13" t="n">
        <v>150.4</v>
      </c>
      <c r="Q46" s="13" t="n">
        <v>6.3</v>
      </c>
      <c r="R46" s="13" t="n">
        <f aca="false">IFERROR((G46+K46+O46)*1000000/P46,"")</f>
        <v>33599.5831117021</v>
      </c>
      <c r="S46" s="13" t="n">
        <f aca="false">IFERROR(D46*1000/P46,"")</f>
        <v>6484.70744680851</v>
      </c>
    </row>
    <row r="47" customFormat="false" ht="15" hidden="false" customHeight="false" outlineLevel="0" collapsed="false">
      <c r="A47" s="12" t="n">
        <v>46134</v>
      </c>
      <c r="B47" s="13" t="n">
        <v>2</v>
      </c>
      <c r="C47" s="13" t="n">
        <v>2271</v>
      </c>
      <c r="D47" s="13" t="n">
        <v>919.8</v>
      </c>
      <c r="E47" s="13" t="n">
        <v>14285.2</v>
      </c>
      <c r="F47" s="13" t="n">
        <v>4841</v>
      </c>
      <c r="G47" s="13" t="n">
        <f aca="false">D47*F47/1000000</f>
        <v>4.4527518</v>
      </c>
      <c r="H47" s="13" t="n">
        <v>4.39</v>
      </c>
      <c r="I47" s="13" t="n">
        <v>0.9</v>
      </c>
      <c r="J47" s="13" t="n">
        <v>53.49</v>
      </c>
      <c r="K47" s="13" t="n">
        <f aca="false">I47*8600/1000000</f>
        <v>0.00774</v>
      </c>
      <c r="L47" s="13" t="n">
        <v>0</v>
      </c>
      <c r="M47" s="13" t="n">
        <v>27.8</v>
      </c>
      <c r="N47" s="13" t="n">
        <v>172.2</v>
      </c>
      <c r="O47" s="13" t="n">
        <f aca="false">M47*3500/1000000</f>
        <v>0.0973</v>
      </c>
      <c r="P47" s="13" t="n">
        <v>187.1</v>
      </c>
      <c r="Q47" s="13" t="n">
        <v>7.8</v>
      </c>
      <c r="R47" s="13" t="n">
        <f aca="false">IFERROR((G47+K47+O47)*1000000/P47,"")</f>
        <v>24360.1913415286</v>
      </c>
      <c r="S47" s="13" t="n">
        <f aca="false">IFERROR(D47*1000/P47,"")</f>
        <v>4916.08765366114</v>
      </c>
    </row>
    <row r="48" customFormat="false" ht="15" hidden="false" customHeight="false" outlineLevel="0" collapsed="false">
      <c r="A48" s="12" t="n">
        <v>46135</v>
      </c>
      <c r="B48" s="13" t="n">
        <v>1</v>
      </c>
      <c r="C48" s="13" t="n">
        <v>0</v>
      </c>
      <c r="D48" s="13" t="n">
        <v>862.2</v>
      </c>
      <c r="E48" s="13" t="n">
        <v>11923.8</v>
      </c>
      <c r="F48" s="13" t="n">
        <v>5042</v>
      </c>
      <c r="G48" s="13" t="n">
        <f aca="false">D48*F48/1000000</f>
        <v>4.3472124</v>
      </c>
      <c r="H48" s="13" t="n">
        <v>0</v>
      </c>
      <c r="I48" s="13" t="n">
        <v>1.58</v>
      </c>
      <c r="J48" s="13" t="n">
        <v>48.42</v>
      </c>
      <c r="K48" s="13" t="n">
        <f aca="false">I48*8600/1000000</f>
        <v>0.013588</v>
      </c>
      <c r="L48" s="13" t="n">
        <v>0</v>
      </c>
      <c r="M48" s="13" t="n">
        <v>14.1</v>
      </c>
      <c r="N48" s="13" t="n">
        <v>185.9</v>
      </c>
      <c r="O48" s="13" t="n">
        <f aca="false">M48*3500/1000000</f>
        <v>0.04935</v>
      </c>
      <c r="P48" s="13" t="n">
        <v>181.7</v>
      </c>
      <c r="Q48" s="13" t="n">
        <v>7.6</v>
      </c>
      <c r="R48" s="13" t="n">
        <f aca="false">IFERROR((G48+K48+O48)*1000000/P48,"")</f>
        <v>24271.6037424326</v>
      </c>
      <c r="S48" s="13" t="n">
        <f aca="false">IFERROR(D48*1000/P48,"")</f>
        <v>4745.1843698404</v>
      </c>
    </row>
    <row r="49" customFormat="false" ht="15" hidden="false" customHeight="false" outlineLevel="0" collapsed="false">
      <c r="A49" s="12" t="n">
        <v>46135</v>
      </c>
      <c r="B49" s="13" t="n">
        <v>2</v>
      </c>
      <c r="C49" s="13" t="n">
        <v>0</v>
      </c>
      <c r="D49" s="13" t="n">
        <v>905.6</v>
      </c>
      <c r="E49" s="13" t="n">
        <v>11906.4</v>
      </c>
      <c r="F49" s="13" t="n">
        <v>4900</v>
      </c>
      <c r="G49" s="13" t="n">
        <f aca="false">D49*F49/1000000</f>
        <v>4.43744</v>
      </c>
      <c r="H49" s="13" t="n">
        <v>0</v>
      </c>
      <c r="I49" s="13" t="n">
        <v>1.86</v>
      </c>
      <c r="J49" s="13" t="n">
        <v>48.14</v>
      </c>
      <c r="K49" s="13" t="n">
        <f aca="false">I49*8600/1000000</f>
        <v>0.015996</v>
      </c>
      <c r="L49" s="13" t="n">
        <v>0</v>
      </c>
      <c r="M49" s="13" t="n">
        <v>11</v>
      </c>
      <c r="N49" s="13" t="n">
        <v>189</v>
      </c>
      <c r="O49" s="13" t="n">
        <f aca="false">M49*3500/1000000</f>
        <v>0.0385</v>
      </c>
      <c r="P49" s="13" t="n">
        <v>181.7</v>
      </c>
      <c r="Q49" s="13" t="n">
        <v>7.6</v>
      </c>
      <c r="R49" s="13" t="n">
        <f aca="false">IFERROR((G49+K49+O49)*1000000/P49,"")</f>
        <v>24721.7171161255</v>
      </c>
      <c r="S49" s="13" t="n">
        <f aca="false">IFERROR(D49*1000/P49,"")</f>
        <v>4984.03962575674</v>
      </c>
    </row>
    <row r="50" customFormat="false" ht="15" hidden="false" customHeight="false" outlineLevel="0" collapsed="false">
      <c r="A50" s="12" t="n">
        <v>46136</v>
      </c>
      <c r="B50" s="13" t="n">
        <v>1</v>
      </c>
      <c r="C50" s="13" t="n">
        <v>0</v>
      </c>
      <c r="D50" s="13" t="n">
        <v>1131.7</v>
      </c>
      <c r="E50" s="13" t="n">
        <v>11523.3</v>
      </c>
      <c r="F50" s="13" t="n">
        <v>4801</v>
      </c>
      <c r="G50" s="13" t="n">
        <f aca="false">D50*F50/1000000</f>
        <v>5.4332917</v>
      </c>
      <c r="H50" s="13" t="n">
        <v>0</v>
      </c>
      <c r="I50" s="13" t="n">
        <v>1.66</v>
      </c>
      <c r="J50" s="13" t="n">
        <v>48.34</v>
      </c>
      <c r="K50" s="13" t="n">
        <f aca="false">I50*8600/1000000</f>
        <v>0.014276</v>
      </c>
      <c r="L50" s="13" t="n">
        <v>0</v>
      </c>
      <c r="M50" s="13" t="n">
        <v>22.7</v>
      </c>
      <c r="N50" s="13" t="n">
        <v>177.3</v>
      </c>
      <c r="O50" s="13" t="n">
        <f aca="false">M50*3500/1000000</f>
        <v>0.07945</v>
      </c>
      <c r="P50" s="13" t="n">
        <v>163.1</v>
      </c>
      <c r="Q50" s="13" t="n">
        <v>6.8</v>
      </c>
      <c r="R50" s="13" t="n">
        <f aca="false">IFERROR((G50+K50+O50)*1000000/P50,"")</f>
        <v>33887.2942979767</v>
      </c>
      <c r="S50" s="13" t="n">
        <f aca="false">IFERROR(D50*1000/P50,"")</f>
        <v>6938.68792152054</v>
      </c>
    </row>
    <row r="51" customFormat="false" ht="15" hidden="false" customHeight="false" outlineLevel="0" collapsed="false">
      <c r="A51" s="12" t="n">
        <v>46136</v>
      </c>
      <c r="B51" s="13" t="n">
        <v>2</v>
      </c>
      <c r="C51" s="13" t="n">
        <v>0</v>
      </c>
      <c r="D51" s="13" t="n">
        <v>1096.5</v>
      </c>
      <c r="E51" s="13" t="n">
        <v>11623.5</v>
      </c>
      <c r="F51" s="13" t="n">
        <v>5082</v>
      </c>
      <c r="G51" s="13" t="n">
        <f aca="false">D51*F51/1000000</f>
        <v>5.572413</v>
      </c>
      <c r="H51" s="13" t="n">
        <v>0</v>
      </c>
      <c r="I51" s="13" t="n">
        <v>1.34</v>
      </c>
      <c r="J51" s="13" t="n">
        <v>48.66</v>
      </c>
      <c r="K51" s="13" t="n">
        <f aca="false">I51*8600/1000000</f>
        <v>0.011524</v>
      </c>
      <c r="L51" s="13" t="n">
        <v>0</v>
      </c>
      <c r="M51" s="13" t="n">
        <v>12.2</v>
      </c>
      <c r="N51" s="13" t="n">
        <v>187.8</v>
      </c>
      <c r="O51" s="13" t="n">
        <f aca="false">M51*3500/1000000</f>
        <v>0.0427</v>
      </c>
      <c r="P51" s="13" t="n">
        <v>197.3</v>
      </c>
      <c r="Q51" s="13" t="n">
        <v>8.2</v>
      </c>
      <c r="R51" s="13" t="n">
        <f aca="false">IFERROR((G51+K51+O51)*1000000/P51,"")</f>
        <v>28518.1804358844</v>
      </c>
      <c r="S51" s="13" t="n">
        <f aca="false">IFERROR(D51*1000/P51,"")</f>
        <v>5557.52660922453</v>
      </c>
    </row>
    <row r="52" customFormat="false" ht="15" hidden="false" customHeight="false" outlineLevel="0" collapsed="false">
      <c r="A52" s="12" t="n">
        <v>46137</v>
      </c>
      <c r="B52" s="13" t="n">
        <v>1</v>
      </c>
      <c r="C52" s="13" t="n">
        <v>2830</v>
      </c>
      <c r="D52" s="13" t="n">
        <v>1161.6</v>
      </c>
      <c r="E52" s="13" t="n">
        <v>14287.4</v>
      </c>
      <c r="F52" s="13" t="n">
        <v>4814</v>
      </c>
      <c r="G52" s="13" t="n">
        <f aca="false">D52*F52/1000000</f>
        <v>5.5919424</v>
      </c>
      <c r="H52" s="13" t="n">
        <v>0</v>
      </c>
      <c r="I52" s="13" t="n">
        <v>1.05</v>
      </c>
      <c r="J52" s="13" t="n">
        <v>48.95</v>
      </c>
      <c r="K52" s="13" t="n">
        <f aca="false">I52*8600/1000000</f>
        <v>0.00903</v>
      </c>
      <c r="L52" s="13" t="n">
        <v>27.6</v>
      </c>
      <c r="M52" s="13" t="n">
        <v>18.6</v>
      </c>
      <c r="N52" s="13" t="n">
        <v>209</v>
      </c>
      <c r="O52" s="13" t="n">
        <f aca="false">M52*3500/1000000</f>
        <v>0.0651</v>
      </c>
      <c r="P52" s="13" t="n">
        <v>152.1</v>
      </c>
      <c r="Q52" s="13" t="n">
        <v>6.3</v>
      </c>
      <c r="R52" s="13" t="n">
        <f aca="false">IFERROR((G52+K52+O52)*1000000/P52,"")</f>
        <v>37252.2840236686</v>
      </c>
      <c r="S52" s="13" t="n">
        <f aca="false">IFERROR(D52*1000/P52,"")</f>
        <v>7637.0808678501</v>
      </c>
    </row>
    <row r="53" customFormat="false" ht="15" hidden="false" customHeight="false" outlineLevel="0" collapsed="false">
      <c r="A53" s="12" t="n">
        <v>46137</v>
      </c>
      <c r="B53" s="13" t="n">
        <v>2</v>
      </c>
      <c r="C53" s="13" t="n">
        <v>1493</v>
      </c>
      <c r="D53" s="13" t="n">
        <v>1159.6</v>
      </c>
      <c r="E53" s="13" t="n">
        <v>12888.4</v>
      </c>
      <c r="F53" s="13" t="n">
        <v>5160</v>
      </c>
      <c r="G53" s="13" t="n">
        <f aca="false">D53*F53/1000000</f>
        <v>5.983536</v>
      </c>
      <c r="H53" s="13" t="n">
        <v>0</v>
      </c>
      <c r="I53" s="13" t="n">
        <v>0.82</v>
      </c>
      <c r="J53" s="13" t="n">
        <v>49.18</v>
      </c>
      <c r="K53" s="13" t="n">
        <f aca="false">I53*8600/1000000</f>
        <v>0.007052</v>
      </c>
      <c r="L53" s="13" t="n">
        <v>12.5</v>
      </c>
      <c r="M53" s="13" t="n">
        <v>12.1</v>
      </c>
      <c r="N53" s="13" t="n">
        <v>200.4</v>
      </c>
      <c r="O53" s="13" t="n">
        <f aca="false">M53*3500/1000000</f>
        <v>0.04235</v>
      </c>
      <c r="P53" s="13" t="n">
        <v>189</v>
      </c>
      <c r="Q53" s="13" t="n">
        <v>7.9</v>
      </c>
      <c r="R53" s="13" t="n">
        <f aca="false">IFERROR((G53+K53+O53)*1000000/P53,"")</f>
        <v>31920.3068783069</v>
      </c>
      <c r="S53" s="13" t="n">
        <f aca="false">IFERROR(D53*1000/P53,"")</f>
        <v>6135.44973544974</v>
      </c>
    </row>
    <row r="54" customFormat="false" ht="15" hidden="false" customHeight="false" outlineLevel="0" collapsed="false">
      <c r="A54" s="12" t="n">
        <v>46138</v>
      </c>
      <c r="B54" s="13" t="n">
        <v>1</v>
      </c>
      <c r="C54" s="13" t="n">
        <v>0</v>
      </c>
      <c r="D54" s="13" t="n">
        <v>1153.7</v>
      </c>
      <c r="E54" s="13" t="n">
        <v>11348.3</v>
      </c>
      <c r="F54" s="13" t="n">
        <v>5190</v>
      </c>
      <c r="G54" s="13" t="n">
        <f aca="false">D54*F54/1000000</f>
        <v>5.987703</v>
      </c>
      <c r="H54" s="13" t="n">
        <v>0</v>
      </c>
      <c r="I54" s="13" t="n">
        <v>1.62</v>
      </c>
      <c r="J54" s="13" t="n">
        <v>48.38</v>
      </c>
      <c r="K54" s="13" t="n">
        <f aca="false">I54*8600/1000000</f>
        <v>0.013932</v>
      </c>
      <c r="L54" s="13" t="n">
        <v>0</v>
      </c>
      <c r="M54" s="13" t="n">
        <v>28.5</v>
      </c>
      <c r="N54" s="13" t="n">
        <v>171.5</v>
      </c>
      <c r="O54" s="13" t="n">
        <f aca="false">M54*3500/1000000</f>
        <v>0.09975</v>
      </c>
      <c r="P54" s="13" t="n">
        <v>161.8</v>
      </c>
      <c r="Q54" s="13" t="n">
        <v>6.7</v>
      </c>
      <c r="R54" s="13" t="n">
        <f aca="false">IFERROR((G54+K54+O54)*1000000/P54,"")</f>
        <v>37709.4252163164</v>
      </c>
      <c r="S54" s="13" t="n">
        <f aca="false">IFERROR(D54*1000/P54,"")</f>
        <v>7130.40791100124</v>
      </c>
    </row>
    <row r="55" customFormat="false" ht="15" hidden="false" customHeight="false" outlineLevel="0" collapsed="false">
      <c r="A55" s="12" t="n">
        <v>46138</v>
      </c>
      <c r="B55" s="13" t="n">
        <v>2</v>
      </c>
      <c r="C55" s="13" t="n">
        <v>0</v>
      </c>
      <c r="D55" s="13" t="n">
        <v>865</v>
      </c>
      <c r="E55" s="13" t="n">
        <v>11607</v>
      </c>
      <c r="F55" s="13" t="n">
        <v>5153</v>
      </c>
      <c r="G55" s="13" t="n">
        <f aca="false">D55*F55/1000000</f>
        <v>4.457345</v>
      </c>
      <c r="H55" s="13" t="n">
        <v>0</v>
      </c>
      <c r="I55" s="13" t="n">
        <v>0.54</v>
      </c>
      <c r="J55" s="13" t="n">
        <v>49.46</v>
      </c>
      <c r="K55" s="13" t="n">
        <f aca="false">I55*8600/1000000</f>
        <v>0.004644</v>
      </c>
      <c r="L55" s="13" t="n">
        <v>0</v>
      </c>
      <c r="M55" s="13" t="n">
        <v>24.7</v>
      </c>
      <c r="N55" s="13" t="n">
        <v>175.3</v>
      </c>
      <c r="O55" s="13" t="n">
        <f aca="false">M55*3500/1000000</f>
        <v>0.08645</v>
      </c>
      <c r="P55" s="13" t="n">
        <v>166.6</v>
      </c>
      <c r="Q55" s="13" t="n">
        <v>6.9</v>
      </c>
      <c r="R55" s="13" t="n">
        <f aca="false">IFERROR((G55+K55+O55)*1000000/P55,"")</f>
        <v>27301.5546218487</v>
      </c>
      <c r="S55" s="13" t="n">
        <f aca="false">IFERROR(D55*1000/P55,"")</f>
        <v>5192.07683073229</v>
      </c>
    </row>
    <row r="56" customFormat="false" ht="15" hidden="false" customHeight="false" outlineLevel="0" collapsed="false">
      <c r="A56" s="12" t="n">
        <v>46139</v>
      </c>
      <c r="B56" s="13" t="n">
        <v>1</v>
      </c>
      <c r="C56" s="13" t="n">
        <v>0</v>
      </c>
      <c r="D56" s="13" t="n">
        <v>1172.3</v>
      </c>
      <c r="E56" s="13" t="n">
        <v>11262.7</v>
      </c>
      <c r="F56" s="13" t="n">
        <v>5146</v>
      </c>
      <c r="G56" s="13" t="n">
        <f aca="false">D56*F56/1000000</f>
        <v>6.0326558</v>
      </c>
      <c r="H56" s="13" t="n">
        <v>0</v>
      </c>
      <c r="I56" s="13" t="n">
        <v>1.72</v>
      </c>
      <c r="J56" s="13" t="n">
        <v>48.28</v>
      </c>
      <c r="K56" s="13" t="n">
        <f aca="false">I56*8600/1000000</f>
        <v>0.014792</v>
      </c>
      <c r="L56" s="13" t="n">
        <v>0</v>
      </c>
      <c r="M56" s="13" t="n">
        <v>15.3</v>
      </c>
      <c r="N56" s="13" t="n">
        <v>184.7</v>
      </c>
      <c r="O56" s="13" t="n">
        <f aca="false">M56*3500/1000000</f>
        <v>0.05355</v>
      </c>
      <c r="P56" s="13" t="n">
        <v>189.4</v>
      </c>
      <c r="Q56" s="13" t="n">
        <v>7.9</v>
      </c>
      <c r="R56" s="13" t="n">
        <f aca="false">IFERROR((G56+K56+O56)*1000000/P56,"")</f>
        <v>32212.237592397</v>
      </c>
      <c r="S56" s="13" t="n">
        <f aca="false">IFERROR(D56*1000/P56,"")</f>
        <v>6189.5459345301</v>
      </c>
    </row>
    <row r="57" customFormat="false" ht="15" hidden="false" customHeight="false" outlineLevel="0" collapsed="false">
      <c r="A57" s="12" t="n">
        <v>46139</v>
      </c>
      <c r="B57" s="13" t="n">
        <v>2</v>
      </c>
      <c r="C57" s="13" t="n">
        <v>0</v>
      </c>
      <c r="D57" s="13" t="n">
        <v>843.2</v>
      </c>
      <c r="E57" s="13" t="n">
        <v>11510.8</v>
      </c>
      <c r="F57" s="13" t="n">
        <v>5143</v>
      </c>
      <c r="G57" s="13" t="n">
        <f aca="false">D57*F57/1000000</f>
        <v>4.3365776</v>
      </c>
      <c r="H57" s="13" t="n">
        <v>0</v>
      </c>
      <c r="I57" s="13" t="n">
        <v>0.83</v>
      </c>
      <c r="J57" s="13" t="n">
        <v>49.17</v>
      </c>
      <c r="K57" s="13" t="n">
        <f aca="false">I57*8600/1000000</f>
        <v>0.007138</v>
      </c>
      <c r="L57" s="13" t="n">
        <v>0</v>
      </c>
      <c r="M57" s="13" t="n">
        <v>26.3</v>
      </c>
      <c r="N57" s="13" t="n">
        <v>173.7</v>
      </c>
      <c r="O57" s="13" t="n">
        <f aca="false">M57*3500/1000000</f>
        <v>0.09205</v>
      </c>
      <c r="P57" s="13" t="n">
        <v>173</v>
      </c>
      <c r="Q57" s="13" t="n">
        <v>7.2</v>
      </c>
      <c r="R57" s="13" t="n">
        <f aca="false">IFERROR((G57+K57+O57)*1000000/P57,"")</f>
        <v>25640.263583815</v>
      </c>
      <c r="S57" s="13" t="n">
        <f aca="false">IFERROR(D57*1000/P57,"")</f>
        <v>4873.98843930636</v>
      </c>
    </row>
    <row r="58" customFormat="false" ht="15" hidden="false" customHeight="false" outlineLevel="0" collapsed="false">
      <c r="A58" s="12" t="n">
        <v>46140</v>
      </c>
      <c r="B58" s="13" t="n">
        <v>1</v>
      </c>
      <c r="C58" s="13" t="n">
        <v>1250</v>
      </c>
      <c r="D58" s="13" t="n">
        <v>1128.2</v>
      </c>
      <c r="E58" s="13" t="n">
        <v>12400.8</v>
      </c>
      <c r="F58" s="13" t="n">
        <v>4889</v>
      </c>
      <c r="G58" s="13" t="n">
        <f aca="false">D58*F58/1000000</f>
        <v>5.5157698</v>
      </c>
      <c r="H58" s="13" t="n">
        <v>0</v>
      </c>
      <c r="I58" s="13" t="n">
        <v>1.49</v>
      </c>
      <c r="J58" s="13" t="n">
        <v>48.51</v>
      </c>
      <c r="K58" s="13" t="n">
        <f aca="false">I58*8600/1000000</f>
        <v>0.012814</v>
      </c>
      <c r="L58" s="13" t="n">
        <v>0</v>
      </c>
      <c r="M58" s="13" t="n">
        <v>18</v>
      </c>
      <c r="N58" s="13" t="n">
        <v>182</v>
      </c>
      <c r="O58" s="13" t="n">
        <f aca="false">M58*3500/1000000</f>
        <v>0.063</v>
      </c>
      <c r="P58" s="13" t="n">
        <v>163.9</v>
      </c>
      <c r="Q58" s="13" t="n">
        <v>6.8</v>
      </c>
      <c r="R58" s="13" t="n">
        <f aca="false">IFERROR((G58+K58+O58)*1000000/P58,"")</f>
        <v>34115.8255033557</v>
      </c>
      <c r="S58" s="13" t="n">
        <f aca="false">IFERROR(D58*1000/P58,"")</f>
        <v>6883.46552776083</v>
      </c>
    </row>
    <row r="59" customFormat="false" ht="15" hidden="false" customHeight="false" outlineLevel="0" collapsed="false">
      <c r="A59" s="12" t="n">
        <v>46140</v>
      </c>
      <c r="B59" s="13" t="n">
        <v>2</v>
      </c>
      <c r="C59" s="13" t="n">
        <v>284</v>
      </c>
      <c r="D59" s="13" t="n">
        <v>1186.8</v>
      </c>
      <c r="E59" s="13" t="n">
        <v>11382.2</v>
      </c>
      <c r="F59" s="13" t="n">
        <v>4940</v>
      </c>
      <c r="G59" s="13" t="n">
        <f aca="false">D59*F59/1000000</f>
        <v>5.862792</v>
      </c>
      <c r="H59" s="13" t="n">
        <v>0</v>
      </c>
      <c r="I59" s="13" t="n">
        <v>1.26</v>
      </c>
      <c r="J59" s="13" t="n">
        <v>48.74</v>
      </c>
      <c r="K59" s="13" t="n">
        <f aca="false">I59*8600/1000000</f>
        <v>0.010836</v>
      </c>
      <c r="L59" s="13" t="n">
        <v>0</v>
      </c>
      <c r="M59" s="13" t="n">
        <v>23.6</v>
      </c>
      <c r="N59" s="13" t="n">
        <v>176.4</v>
      </c>
      <c r="O59" s="13" t="n">
        <f aca="false">M59*3500/1000000</f>
        <v>0.0826</v>
      </c>
      <c r="P59" s="13" t="n">
        <v>192.2</v>
      </c>
      <c r="Q59" s="13" t="n">
        <v>8</v>
      </c>
      <c r="R59" s="13" t="n">
        <f aca="false">IFERROR((G59+K59+O59)*1000000/P59,"")</f>
        <v>30989.7398543184</v>
      </c>
      <c r="S59" s="13" t="n">
        <f aca="false">IFERROR(D59*1000/P59,"")</f>
        <v>6174.81789802289</v>
      </c>
    </row>
    <row r="60" customFormat="false" ht="15" hidden="false" customHeight="false" outlineLevel="0" collapsed="false">
      <c r="A60" s="12" t="n">
        <v>46141</v>
      </c>
      <c r="B60" s="13" t="n">
        <v>1</v>
      </c>
      <c r="C60" s="13" t="n">
        <v>0</v>
      </c>
      <c r="D60" s="13" t="n">
        <v>932.5</v>
      </c>
      <c r="E60" s="13" t="n">
        <v>11220.5</v>
      </c>
      <c r="F60" s="13" t="n">
        <v>4846</v>
      </c>
      <c r="G60" s="13" t="n">
        <f aca="false">D60*F60/1000000</f>
        <v>4.518895</v>
      </c>
      <c r="H60" s="13" t="n">
        <v>4.85</v>
      </c>
      <c r="I60" s="13" t="n">
        <v>0.77</v>
      </c>
      <c r="J60" s="13" t="n">
        <v>54.08</v>
      </c>
      <c r="K60" s="13" t="n">
        <f aca="false">I60*8600/1000000</f>
        <v>0.006622</v>
      </c>
      <c r="L60" s="13" t="n">
        <v>48.1</v>
      </c>
      <c r="M60" s="13" t="n">
        <v>15.3</v>
      </c>
      <c r="N60" s="13" t="n">
        <v>232.8</v>
      </c>
      <c r="O60" s="13" t="n">
        <f aca="false">M60*3500/1000000</f>
        <v>0.05355</v>
      </c>
      <c r="P60" s="13" t="n">
        <v>155.4</v>
      </c>
      <c r="Q60" s="13" t="n">
        <v>6.5</v>
      </c>
      <c r="R60" s="13" t="n">
        <f aca="false">IFERROR((G60+K60+O60)*1000000/P60,"")</f>
        <v>29466.3256113256</v>
      </c>
      <c r="S60" s="13" t="n">
        <f aca="false">IFERROR(D60*1000/P60,"")</f>
        <v>6000.6435006435</v>
      </c>
    </row>
    <row r="61" customFormat="false" ht="15" hidden="false" customHeight="false" outlineLevel="0" collapsed="false">
      <c r="A61" s="12" t="n">
        <v>46141</v>
      </c>
      <c r="B61" s="13" t="n">
        <v>2</v>
      </c>
      <c r="C61" s="13" t="n">
        <v>0</v>
      </c>
      <c r="D61" s="13" t="n">
        <v>973.8</v>
      </c>
      <c r="E61" s="13" t="n">
        <v>11269.2</v>
      </c>
      <c r="F61" s="13" t="n">
        <v>5115</v>
      </c>
      <c r="G61" s="13" t="n">
        <f aca="false">D61*F61/1000000</f>
        <v>4.980987</v>
      </c>
      <c r="H61" s="13" t="n">
        <v>2.18</v>
      </c>
      <c r="I61" s="13" t="n">
        <v>1.98</v>
      </c>
      <c r="J61" s="13" t="n">
        <v>50.2</v>
      </c>
      <c r="K61" s="13" t="n">
        <f aca="false">I61*8600/1000000</f>
        <v>0.017028</v>
      </c>
      <c r="L61" s="13" t="n">
        <v>5.8</v>
      </c>
      <c r="M61" s="13" t="n">
        <v>28</v>
      </c>
      <c r="N61" s="13" t="n">
        <v>177.8</v>
      </c>
      <c r="O61" s="13" t="n">
        <f aca="false">M61*3500/1000000</f>
        <v>0.098</v>
      </c>
      <c r="P61" s="13" t="n">
        <v>159.5</v>
      </c>
      <c r="Q61" s="13" t="n">
        <v>6.6</v>
      </c>
      <c r="R61" s="13" t="n">
        <f aca="false">IFERROR((G61+K61+O61)*1000000/P61,"")</f>
        <v>31949.9373040752</v>
      </c>
      <c r="S61" s="13" t="n">
        <f aca="false">IFERROR(D61*1000/P61,"")</f>
        <v>6105.32915360502</v>
      </c>
    </row>
    <row r="62" customFormat="false" ht="15" hidden="false" customHeight="false" outlineLevel="0" collapsed="false">
      <c r="A62" s="12" t="n">
        <v>46142</v>
      </c>
      <c r="B62" s="13" t="n">
        <v>1</v>
      </c>
      <c r="C62" s="13" t="n">
        <v>0</v>
      </c>
      <c r="D62" s="13" t="n">
        <v>817.8</v>
      </c>
      <c r="E62" s="13" t="n">
        <v>11287.2</v>
      </c>
      <c r="F62" s="13" t="n">
        <v>4801</v>
      </c>
      <c r="G62" s="13" t="n">
        <f aca="false">D62*F62/1000000</f>
        <v>3.9262578</v>
      </c>
      <c r="H62" s="13" t="n">
        <v>0</v>
      </c>
      <c r="I62" s="13" t="n">
        <v>1.89</v>
      </c>
      <c r="J62" s="13" t="n">
        <v>48.11</v>
      </c>
      <c r="K62" s="13" t="n">
        <f aca="false">I62*8600/1000000</f>
        <v>0.016254</v>
      </c>
      <c r="L62" s="13" t="n">
        <v>0</v>
      </c>
      <c r="M62" s="13" t="n">
        <v>20.8</v>
      </c>
      <c r="N62" s="13" t="n">
        <v>179.2</v>
      </c>
      <c r="O62" s="13" t="n">
        <f aca="false">M62*3500/1000000</f>
        <v>0.0728</v>
      </c>
      <c r="P62" s="13" t="n">
        <v>186</v>
      </c>
      <c r="Q62" s="13" t="n">
        <v>7.8</v>
      </c>
      <c r="R62" s="13" t="n">
        <f aca="false">IFERROR((G62+K62+O62)*1000000/P62,"")</f>
        <v>21587.6978494624</v>
      </c>
      <c r="S62" s="13" t="n">
        <f aca="false">IFERROR(D62*1000/P62,"")</f>
        <v>4396.77419354839</v>
      </c>
    </row>
    <row r="63" customFormat="false" ht="15" hidden="false" customHeight="false" outlineLevel="0" collapsed="false">
      <c r="A63" s="12" t="n">
        <v>46142</v>
      </c>
      <c r="B63" s="13" t="n">
        <v>2</v>
      </c>
      <c r="C63" s="13" t="n">
        <v>0</v>
      </c>
      <c r="D63" s="13" t="n">
        <v>1096.8</v>
      </c>
      <c r="E63" s="13" t="n">
        <v>11038.2</v>
      </c>
      <c r="F63" s="13" t="n">
        <v>4879</v>
      </c>
      <c r="G63" s="13" t="n">
        <f aca="false">D63*F63/1000000</f>
        <v>5.3512872</v>
      </c>
      <c r="H63" s="13" t="n">
        <v>0</v>
      </c>
      <c r="I63" s="13" t="n">
        <v>1.15</v>
      </c>
      <c r="J63" s="13" t="n">
        <v>48.85</v>
      </c>
      <c r="K63" s="13" t="n">
        <f aca="false">I63*8600/1000000</f>
        <v>0.00989</v>
      </c>
      <c r="L63" s="13" t="n">
        <v>0</v>
      </c>
      <c r="M63" s="13" t="n">
        <v>29</v>
      </c>
      <c r="N63" s="13" t="n">
        <v>171</v>
      </c>
      <c r="O63" s="13" t="n">
        <f aca="false">M63*3500/1000000</f>
        <v>0.1015</v>
      </c>
      <c r="P63" s="13" t="n">
        <v>196</v>
      </c>
      <c r="Q63" s="13" t="n">
        <v>8.2</v>
      </c>
      <c r="R63" s="13" t="n">
        <f aca="false">IFERROR((G63+K63+O63)*1000000/P63,"")</f>
        <v>27870.8020408163</v>
      </c>
      <c r="S63" s="13" t="n">
        <f aca="false">IFERROR(D63*1000/P63,"")</f>
        <v>5595.91836734694</v>
      </c>
    </row>
  </sheetData>
  <mergeCells count="6">
    <mergeCell ref="A1:T1"/>
    <mergeCell ref="A2:B2"/>
    <mergeCell ref="C2:G2"/>
    <mergeCell ref="H2:K2"/>
    <mergeCell ref="L2:O2"/>
    <mergeCell ref="P2:S2"/>
  </mergeCells>
  <dataValidations count="1">
    <dataValidation allowBlank="false" errorStyle="stop" operator="between" showDropDown="false" showErrorMessage="false" showInputMessage="false" sqref="B4:B63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9" min="7" style="0" width="16"/>
    <col collapsed="false" customWidth="true" hidden="false" outlineLevel="0" max="12" min="10" style="0" width="14"/>
    <col collapsed="false" customWidth="true" hidden="false" outlineLevel="0" max="13" min="13" style="0" width="24"/>
  </cols>
  <sheetData>
    <row r="1" customFormat="false" ht="21.75" hidden="false" customHeight="true" outlineLevel="0" collapsed="false">
      <c r="A1" s="14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3" customFormat="false" ht="36" hidden="false" customHeight="true" outlineLevel="0" collapsed="false">
      <c r="A3" s="15" t="s">
        <v>58</v>
      </c>
      <c r="B3" s="15" t="s">
        <v>59</v>
      </c>
      <c r="C3" s="15" t="s">
        <v>60</v>
      </c>
      <c r="D3" s="15" t="s">
        <v>41</v>
      </c>
      <c r="E3" s="15" t="s">
        <v>61</v>
      </c>
      <c r="F3" s="15" t="s">
        <v>46</v>
      </c>
      <c r="G3" s="15" t="s">
        <v>50</v>
      </c>
      <c r="H3" s="15" t="s">
        <v>62</v>
      </c>
      <c r="I3" s="15" t="s">
        <v>53</v>
      </c>
      <c r="J3" s="15" t="s">
        <v>55</v>
      </c>
      <c r="K3" s="15" t="s">
        <v>56</v>
      </c>
      <c r="L3" s="15" t="s">
        <v>63</v>
      </c>
      <c r="M3" s="15" t="s">
        <v>64</v>
      </c>
    </row>
    <row r="4" customFormat="false" ht="15" hidden="false" customHeight="false" outlineLevel="0" collapsed="false">
      <c r="A4" s="3" t="s">
        <v>65</v>
      </c>
      <c r="B4" s="16" t="s">
        <v>66</v>
      </c>
      <c r="C4" s="3" t="n">
        <v>1</v>
      </c>
      <c r="D4" s="3" t="n">
        <v>7369.5</v>
      </c>
      <c r="E4" s="3" t="n">
        <v>13135</v>
      </c>
      <c r="F4" s="3" t="n">
        <v>15.96</v>
      </c>
      <c r="G4" s="3" t="n">
        <v>95</v>
      </c>
      <c r="H4" s="3" t="n">
        <v>174.44</v>
      </c>
      <c r="I4" s="3" t="n">
        <v>1360</v>
      </c>
      <c r="J4" s="3" t="n">
        <v>128265</v>
      </c>
      <c r="K4" s="3" t="n">
        <v>5418.75</v>
      </c>
      <c r="L4" s="3" t="n">
        <v>93.1</v>
      </c>
      <c r="M4" s="3"/>
    </row>
    <row r="5" customFormat="false" ht="15" hidden="false" customHeight="false" outlineLevel="0" collapsed="false">
      <c r="A5" s="3" t="s">
        <v>65</v>
      </c>
      <c r="B5" s="16" t="s">
        <v>66</v>
      </c>
      <c r="C5" s="3" t="n">
        <v>2</v>
      </c>
      <c r="D5" s="3" t="n">
        <v>6725.2</v>
      </c>
      <c r="E5" s="3" t="n">
        <v>13724</v>
      </c>
      <c r="F5" s="3" t="n">
        <v>12.83</v>
      </c>
      <c r="G5" s="3" t="n">
        <v>115.5</v>
      </c>
      <c r="H5" s="3" t="n">
        <v>144.37</v>
      </c>
      <c r="I5" s="3" t="n">
        <v>1050.9</v>
      </c>
      <c r="J5" s="3" t="n">
        <v>137377</v>
      </c>
      <c r="K5" s="3" t="n">
        <v>6399.467</v>
      </c>
      <c r="L5" s="3" t="n">
        <v>92.2</v>
      </c>
      <c r="M5" s="3"/>
    </row>
    <row r="6" customFormat="false" ht="15" hidden="false" customHeight="false" outlineLevel="0" collapsed="false">
      <c r="A6" s="3" t="s">
        <v>67</v>
      </c>
      <c r="B6" s="16" t="s">
        <v>68</v>
      </c>
      <c r="C6" s="3" t="n">
        <v>1</v>
      </c>
      <c r="D6" s="3" t="n">
        <v>7532</v>
      </c>
      <c r="E6" s="3" t="n">
        <v>14500</v>
      </c>
      <c r="F6" s="3" t="n">
        <v>18.83</v>
      </c>
      <c r="G6" s="3" t="n">
        <v>153.9</v>
      </c>
      <c r="H6" s="3" t="n">
        <v>200.14</v>
      </c>
      <c r="I6" s="3" t="n">
        <v>1120.4</v>
      </c>
      <c r="J6" s="3" t="n">
        <v>178633</v>
      </c>
      <c r="K6" s="3" t="n">
        <v>6722.599</v>
      </c>
      <c r="L6" s="3" t="n">
        <v>93.5</v>
      </c>
      <c r="M6" s="3"/>
    </row>
    <row r="7" customFormat="false" ht="15" hidden="false" customHeight="false" outlineLevel="0" collapsed="false">
      <c r="A7" s="3" t="s">
        <v>67</v>
      </c>
      <c r="B7" s="16" t="s">
        <v>68</v>
      </c>
      <c r="C7" s="3" t="n">
        <v>2</v>
      </c>
      <c r="D7" s="3" t="n">
        <v>6411.6</v>
      </c>
      <c r="E7" s="3" t="n">
        <v>13596</v>
      </c>
      <c r="F7" s="3" t="n">
        <v>10.52</v>
      </c>
      <c r="G7" s="3" t="n">
        <v>174.3</v>
      </c>
      <c r="H7" s="3" t="n">
        <v>123.14</v>
      </c>
      <c r="I7" s="3" t="n">
        <v>1242.7</v>
      </c>
      <c r="J7" s="3" t="n">
        <v>99091</v>
      </c>
      <c r="K7" s="3" t="n">
        <v>5159.411</v>
      </c>
      <c r="L7" s="3" t="n">
        <v>91.2</v>
      </c>
      <c r="M7" s="3"/>
    </row>
    <row r="8" customFormat="false" ht="15" hidden="false" customHeight="false" outlineLevel="0" collapsed="false">
      <c r="A8" s="3" t="s">
        <v>69</v>
      </c>
      <c r="B8" s="16" t="s">
        <v>70</v>
      </c>
      <c r="C8" s="3" t="n">
        <v>1</v>
      </c>
      <c r="D8" s="3" t="n">
        <v>6826.5</v>
      </c>
      <c r="E8" s="3" t="n">
        <v>14153</v>
      </c>
      <c r="F8" s="3" t="n">
        <v>10.56</v>
      </c>
      <c r="G8" s="3" t="n">
        <v>136.8</v>
      </c>
      <c r="H8" s="3" t="n">
        <v>125.43</v>
      </c>
      <c r="I8" s="3" t="n">
        <v>1360.5</v>
      </c>
      <c r="J8" s="3" t="n">
        <v>92194</v>
      </c>
      <c r="K8" s="3" t="n">
        <v>5017.641</v>
      </c>
      <c r="L8" s="3" t="n">
        <v>96</v>
      </c>
      <c r="M8" s="3"/>
    </row>
    <row r="9" customFormat="false" ht="15" hidden="false" customHeight="false" outlineLevel="0" collapsed="false">
      <c r="A9" s="3" t="s">
        <v>69</v>
      </c>
      <c r="B9" s="16" t="s">
        <v>70</v>
      </c>
      <c r="C9" s="3" t="n">
        <v>2</v>
      </c>
      <c r="D9" s="3" t="n">
        <v>7476.6</v>
      </c>
      <c r="E9" s="3" t="n">
        <v>14019</v>
      </c>
      <c r="F9" s="3" t="n">
        <v>11.41</v>
      </c>
      <c r="G9" s="3" t="n">
        <v>159.7</v>
      </c>
      <c r="H9" s="3" t="n">
        <v>136.07</v>
      </c>
      <c r="I9" s="3" t="n">
        <v>1247.7</v>
      </c>
      <c r="J9" s="3" t="n">
        <v>109057</v>
      </c>
      <c r="K9" s="3" t="n">
        <v>5992.306</v>
      </c>
      <c r="L9" s="3" t="n">
        <v>88.9</v>
      </c>
      <c r="M9" s="3"/>
    </row>
    <row r="10" customFormat="false" ht="15" hidden="false" customHeight="false" outlineLevel="0" collapsed="false">
      <c r="A10" s="3" t="s">
        <v>71</v>
      </c>
      <c r="B10" s="16" t="s">
        <v>72</v>
      </c>
      <c r="C10" s="3" t="n">
        <v>1</v>
      </c>
      <c r="D10" s="3" t="n">
        <v>7518.4</v>
      </c>
      <c r="E10" s="3" t="n">
        <v>13527</v>
      </c>
      <c r="F10" s="3" t="n">
        <v>10.7</v>
      </c>
      <c r="G10" s="3" t="n">
        <v>103.9</v>
      </c>
      <c r="H10" s="3" t="n">
        <v>129.98</v>
      </c>
      <c r="I10" s="3" t="n">
        <v>1009.8</v>
      </c>
      <c r="J10" s="3" t="n">
        <v>128719</v>
      </c>
      <c r="K10" s="3" t="n">
        <v>7445.435</v>
      </c>
      <c r="L10" s="3" t="n">
        <v>90.4</v>
      </c>
      <c r="M10" s="3"/>
    </row>
    <row r="11" customFormat="false" ht="15" hidden="false" customHeight="false" outlineLevel="0" collapsed="false">
      <c r="A11" s="3" t="s">
        <v>71</v>
      </c>
      <c r="B11" s="16" t="s">
        <v>72</v>
      </c>
      <c r="C11" s="3" t="n">
        <v>2</v>
      </c>
      <c r="D11" s="3" t="n">
        <v>7333.8</v>
      </c>
      <c r="E11" s="3" t="n">
        <v>13029</v>
      </c>
      <c r="F11" s="3" t="n">
        <v>17.22</v>
      </c>
      <c r="G11" s="3" t="n">
        <v>134.6</v>
      </c>
      <c r="H11" s="3" t="n">
        <v>185.23</v>
      </c>
      <c r="I11" s="3" t="n">
        <v>1354.5</v>
      </c>
      <c r="J11" s="3" t="n">
        <v>136752</v>
      </c>
      <c r="K11" s="3" t="n">
        <v>5414.396</v>
      </c>
      <c r="L11" s="3" t="n">
        <v>93.8</v>
      </c>
      <c r="M11" s="3"/>
    </row>
    <row r="12" customFormat="false" ht="15" hidden="false" customHeight="false" outlineLevel="0" collapsed="false">
      <c r="A12" s="3" t="s">
        <v>73</v>
      </c>
      <c r="B12" s="16" t="s">
        <v>74</v>
      </c>
      <c r="C12" s="3" t="n">
        <v>1</v>
      </c>
      <c r="D12" s="3" t="n">
        <v>7589.1</v>
      </c>
      <c r="E12" s="3" t="n">
        <v>14282</v>
      </c>
      <c r="F12" s="3" t="n">
        <v>13.93</v>
      </c>
      <c r="G12" s="3" t="n">
        <v>109.3</v>
      </c>
      <c r="H12" s="3" t="n">
        <v>158.13</v>
      </c>
      <c r="I12" s="3" t="n">
        <v>1262.4</v>
      </c>
      <c r="J12" s="3" t="n">
        <v>125261</v>
      </c>
      <c r="K12" s="3" t="n">
        <v>6011.644</v>
      </c>
      <c r="L12" s="3" t="n">
        <v>88.1</v>
      </c>
      <c r="M12" s="3"/>
    </row>
    <row r="13" customFormat="false" ht="15" hidden="false" customHeight="false" outlineLevel="0" collapsed="false">
      <c r="A13" s="3" t="s">
        <v>73</v>
      </c>
      <c r="B13" s="16" t="s">
        <v>74</v>
      </c>
      <c r="C13" s="3" t="n">
        <v>2</v>
      </c>
      <c r="D13" s="3" t="n">
        <v>7835.3</v>
      </c>
      <c r="E13" s="3" t="n">
        <v>13359</v>
      </c>
      <c r="F13" s="3" t="n">
        <v>10.63</v>
      </c>
      <c r="G13" s="3" t="n">
        <v>176.5</v>
      </c>
      <c r="H13" s="3" t="n">
        <v>131.21</v>
      </c>
      <c r="I13" s="3" t="n">
        <v>1278.4</v>
      </c>
      <c r="J13" s="3" t="n">
        <v>102636</v>
      </c>
      <c r="K13" s="3" t="n">
        <v>6128.989</v>
      </c>
      <c r="L13" s="3" t="n">
        <v>92.6</v>
      </c>
      <c r="M13" s="3"/>
    </row>
    <row r="14" customFormat="false" ht="15" hidden="false" customHeight="false" outlineLevel="0" collapsed="false">
      <c r="A14" s="3" t="s">
        <v>75</v>
      </c>
      <c r="B14" s="16" t="s">
        <v>76</v>
      </c>
      <c r="C14" s="3" t="n">
        <v>1</v>
      </c>
      <c r="D14" s="3" t="n">
        <v>6247.6</v>
      </c>
      <c r="E14" s="3" t="n">
        <v>13356</v>
      </c>
      <c r="F14" s="3" t="n">
        <v>18.18</v>
      </c>
      <c r="G14" s="3" t="n">
        <v>134.8</v>
      </c>
      <c r="H14" s="3" t="n">
        <v>188.06</v>
      </c>
      <c r="I14" s="3" t="n">
        <v>1320.6</v>
      </c>
      <c r="J14" s="3" t="n">
        <v>142405</v>
      </c>
      <c r="K14" s="3" t="n">
        <v>4730.88</v>
      </c>
      <c r="L14" s="3" t="n">
        <v>94.7</v>
      </c>
      <c r="M14" s="3"/>
    </row>
    <row r="15" customFormat="false" ht="15" hidden="false" customHeight="false" outlineLevel="0" collapsed="false">
      <c r="A15" s="3" t="s">
        <v>75</v>
      </c>
      <c r="B15" s="16" t="s">
        <v>76</v>
      </c>
      <c r="C15" s="3" t="n">
        <v>2</v>
      </c>
      <c r="D15" s="3" t="n">
        <v>7286.4</v>
      </c>
      <c r="E15" s="3" t="n">
        <v>13467</v>
      </c>
      <c r="F15" s="3" t="n">
        <v>19.4</v>
      </c>
      <c r="G15" s="3" t="n">
        <v>187</v>
      </c>
      <c r="H15" s="3" t="n">
        <v>203.93</v>
      </c>
      <c r="I15" s="3" t="n">
        <v>1245.1</v>
      </c>
      <c r="J15" s="3" t="n">
        <v>163786</v>
      </c>
      <c r="K15" s="3" t="n">
        <v>5852.06</v>
      </c>
      <c r="L15" s="3" t="n">
        <v>95.2</v>
      </c>
      <c r="M15" s="3"/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7" min="5" style="0" width="10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2" min="12" style="0" width="10"/>
  </cols>
  <sheetData>
    <row r="1" customFormat="false" ht="21.75" hidden="false" customHeight="true" outlineLevel="0" collapsed="false">
      <c r="A1" s="17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3" customFormat="false" ht="36" hidden="false" customHeight="true" outlineLevel="0" collapsed="false">
      <c r="A3" s="18" t="s">
        <v>78</v>
      </c>
      <c r="B3" s="18" t="s">
        <v>79</v>
      </c>
      <c r="C3" s="18" t="s">
        <v>80</v>
      </c>
      <c r="D3" s="18" t="s">
        <v>81</v>
      </c>
      <c r="E3" s="18" t="s">
        <v>82</v>
      </c>
      <c r="F3" s="18" t="s">
        <v>83</v>
      </c>
      <c r="G3" s="18" t="s">
        <v>84</v>
      </c>
      <c r="H3" s="18" t="s">
        <v>85</v>
      </c>
      <c r="I3" s="18" t="s">
        <v>86</v>
      </c>
      <c r="J3" s="18" t="s">
        <v>87</v>
      </c>
      <c r="K3" s="18" t="s">
        <v>88</v>
      </c>
      <c r="L3" s="18" t="s">
        <v>89</v>
      </c>
    </row>
    <row r="4" customFormat="false" ht="15" hidden="false" customHeight="false" outlineLevel="0" collapsed="false">
      <c r="A4" s="16" t="s">
        <v>90</v>
      </c>
      <c r="B4" s="13" t="s">
        <v>91</v>
      </c>
      <c r="C4" s="13" t="n">
        <v>2800</v>
      </c>
      <c r="D4" s="13" t="n">
        <v>2756</v>
      </c>
      <c r="E4" s="13" t="n">
        <f aca="false">D4-C4</f>
        <v>-44</v>
      </c>
      <c r="F4" s="19" t="n">
        <f aca="false">IFERROR(E4/C4,"")</f>
        <v>-0.0157142857142857</v>
      </c>
      <c r="G4" s="20" t="s">
        <v>92</v>
      </c>
      <c r="H4" s="13" t="n">
        <v>14000</v>
      </c>
      <c r="I4" s="13" t="n">
        <v>13772.7</v>
      </c>
      <c r="J4" s="19" t="n">
        <f aca="false">I4-H4</f>
        <v>-227.299999999999</v>
      </c>
      <c r="K4" s="13" t="n">
        <f aca="false">IFERROR(J4/H4,"")</f>
        <v>-0.0162357142857142</v>
      </c>
      <c r="L4" s="20" t="s">
        <v>92</v>
      </c>
    </row>
    <row r="5" customFormat="false" ht="15" hidden="false" customHeight="false" outlineLevel="0" collapsed="false">
      <c r="A5" s="16" t="s">
        <v>93</v>
      </c>
      <c r="B5" s="13" t="s">
        <v>94</v>
      </c>
      <c r="C5" s="13" t="n">
        <v>16000</v>
      </c>
      <c r="D5" s="13" t="n">
        <v>16420</v>
      </c>
      <c r="E5" s="13" t="n">
        <f aca="false">D5-C5</f>
        <v>420</v>
      </c>
      <c r="F5" s="19" t="n">
        <f aca="false">IFERROR(E5/C5,"")</f>
        <v>0.02625</v>
      </c>
      <c r="G5" s="20" t="s">
        <v>92</v>
      </c>
      <c r="H5" s="13" t="n">
        <v>80000</v>
      </c>
      <c r="I5" s="13" t="n">
        <v>82140.7</v>
      </c>
      <c r="J5" s="19" t="n">
        <f aca="false">I5-H5</f>
        <v>2140.7</v>
      </c>
      <c r="K5" s="13" t="n">
        <f aca="false">IFERROR(J5/H5,"")</f>
        <v>0.02675875</v>
      </c>
      <c r="L5" s="20" t="s">
        <v>92</v>
      </c>
    </row>
    <row r="6" customFormat="false" ht="15" hidden="false" customHeight="false" outlineLevel="0" collapsed="false">
      <c r="A6" s="16" t="s">
        <v>95</v>
      </c>
      <c r="B6" s="13" t="s">
        <v>96</v>
      </c>
      <c r="C6" s="13" t="n">
        <v>35</v>
      </c>
      <c r="D6" s="13" t="n">
        <v>28</v>
      </c>
      <c r="E6" s="13" t="n">
        <f aca="false">D6-C6</f>
        <v>-7</v>
      </c>
      <c r="F6" s="19" t="n">
        <f aca="false">IFERROR(E6/C6,"")</f>
        <v>-0.2</v>
      </c>
      <c r="G6" s="21" t="s">
        <v>97</v>
      </c>
      <c r="H6" s="13" t="n">
        <v>175</v>
      </c>
      <c r="I6" s="13" t="n">
        <v>134.6</v>
      </c>
      <c r="J6" s="19" t="n">
        <f aca="false">I6-H6</f>
        <v>-40.4</v>
      </c>
      <c r="K6" s="13" t="n">
        <f aca="false">IFERROR(J6/H6,"")</f>
        <v>-0.230857142857143</v>
      </c>
      <c r="L6" s="21" t="s">
        <v>97</v>
      </c>
    </row>
    <row r="7" customFormat="false" ht="15" hidden="false" customHeight="false" outlineLevel="0" collapsed="false">
      <c r="A7" s="16" t="s">
        <v>98</v>
      </c>
      <c r="B7" s="13" t="s">
        <v>94</v>
      </c>
      <c r="C7" s="13" t="n">
        <v>400</v>
      </c>
      <c r="D7" s="13" t="n">
        <v>380</v>
      </c>
      <c r="E7" s="13" t="n">
        <f aca="false">D7-C7</f>
        <v>-20</v>
      </c>
      <c r="F7" s="19" t="n">
        <f aca="false">IFERROR(E7/C7,"")</f>
        <v>-0.05</v>
      </c>
      <c r="G7" s="20" t="s">
        <v>92</v>
      </c>
      <c r="H7" s="13" t="n">
        <v>2000</v>
      </c>
      <c r="I7" s="13" t="n">
        <v>1865.9</v>
      </c>
      <c r="J7" s="19" t="n">
        <f aca="false">I7-H7</f>
        <v>-134.1</v>
      </c>
      <c r="K7" s="13" t="n">
        <f aca="false">IFERROR(J7/H7,"")</f>
        <v>-0.06705</v>
      </c>
      <c r="L7" s="20" t="s">
        <v>92</v>
      </c>
    </row>
    <row r="8" customFormat="false" ht="15" hidden="false" customHeight="false" outlineLevel="0" collapsed="false">
      <c r="A8" s="16" t="s">
        <v>99</v>
      </c>
      <c r="B8" s="13" t="s">
        <v>100</v>
      </c>
      <c r="C8" s="13" t="n">
        <v>2450</v>
      </c>
      <c r="D8" s="13" t="n">
        <v>2498</v>
      </c>
      <c r="E8" s="13" t="n">
        <f aca="false">D8-C8</f>
        <v>48</v>
      </c>
      <c r="F8" s="19" t="n">
        <f aca="false">IFERROR(E8/C8,"")</f>
        <v>0.0195918367346939</v>
      </c>
      <c r="G8" s="20" t="s">
        <v>92</v>
      </c>
      <c r="H8" s="13" t="n">
        <v>12250</v>
      </c>
      <c r="I8" s="13" t="n">
        <v>12526.1</v>
      </c>
      <c r="J8" s="19" t="n">
        <f aca="false">I8-H8</f>
        <v>276.1</v>
      </c>
      <c r="K8" s="13" t="n">
        <f aca="false">IFERROR(J8/H8,"")</f>
        <v>0.0225387755102041</v>
      </c>
      <c r="L8" s="20" t="s">
        <v>92</v>
      </c>
    </row>
    <row r="9" customFormat="false" ht="15" hidden="false" customHeight="false" outlineLevel="0" collapsed="false">
      <c r="A9" s="16" t="s">
        <v>30</v>
      </c>
      <c r="B9" s="13" t="s">
        <v>101</v>
      </c>
      <c r="C9" s="13" t="n">
        <v>5.8</v>
      </c>
      <c r="D9" s="13" t="n">
        <v>5.96</v>
      </c>
      <c r="E9" s="13" t="n">
        <f aca="false">D9-C9</f>
        <v>0.16</v>
      </c>
      <c r="F9" s="19" t="n">
        <f aca="false">IFERROR(E9/C9,"")</f>
        <v>0.0275862068965517</v>
      </c>
      <c r="G9" s="20" t="s">
        <v>92</v>
      </c>
      <c r="H9" s="13" t="n">
        <v>29</v>
      </c>
      <c r="I9" s="13" t="n">
        <v>24.8</v>
      </c>
      <c r="J9" s="19" t="n">
        <f aca="false">I9-H9</f>
        <v>-4.2</v>
      </c>
      <c r="K9" s="13" t="n">
        <f aca="false">IFERROR(J9/H9,"")</f>
        <v>-0.144827586206897</v>
      </c>
      <c r="L9" s="20" t="s">
        <v>92</v>
      </c>
    </row>
    <row r="10" customFormat="false" ht="15" hidden="false" customHeight="false" outlineLevel="0" collapsed="false">
      <c r="A10" s="16" t="s">
        <v>102</v>
      </c>
      <c r="B10" s="13" t="s">
        <v>103</v>
      </c>
      <c r="C10" s="13" t="n">
        <v>92</v>
      </c>
      <c r="D10" s="13" t="n">
        <v>94.2</v>
      </c>
      <c r="E10" s="13" t="n">
        <f aca="false">D10-C10</f>
        <v>2.2</v>
      </c>
      <c r="F10" s="19" t="n">
        <f aca="false">IFERROR(E10/C10,"")</f>
        <v>0.0239130434782609</v>
      </c>
      <c r="G10" s="21" t="s">
        <v>97</v>
      </c>
      <c r="H10" s="13" t="n">
        <v>460</v>
      </c>
      <c r="I10" s="13" t="n">
        <v>496.2</v>
      </c>
      <c r="J10" s="19" t="n">
        <f aca="false">I10-H10</f>
        <v>36.2</v>
      </c>
      <c r="K10" s="13" t="n">
        <f aca="false">IFERROR(J10/H10,"")</f>
        <v>0.078695652173913</v>
      </c>
      <c r="L10" s="21" t="s">
        <v>97</v>
      </c>
    </row>
    <row r="11" customFormat="false" ht="15" hidden="false" customHeight="false" outlineLevel="0" collapsed="false">
      <c r="A11" s="16" t="s">
        <v>104</v>
      </c>
      <c r="B11" s="13" t="s">
        <v>103</v>
      </c>
      <c r="C11" s="13" t="n">
        <v>3.5</v>
      </c>
      <c r="D11" s="13" t="n">
        <v>3.8</v>
      </c>
      <c r="E11" s="13" t="n">
        <f aca="false">D11-C11</f>
        <v>0.3</v>
      </c>
      <c r="F11" s="19" t="n">
        <f aca="false">IFERROR(E11/C11,"")</f>
        <v>0.0857142857142857</v>
      </c>
      <c r="G11" s="21" t="s">
        <v>97</v>
      </c>
      <c r="H11" s="13" t="n">
        <v>17.5</v>
      </c>
      <c r="I11" s="13" t="n">
        <v>53</v>
      </c>
      <c r="J11" s="19" t="n">
        <f aca="false">I11-H11</f>
        <v>35.5</v>
      </c>
      <c r="K11" s="13" t="n">
        <f aca="false">IFERROR(J11/H11,"")</f>
        <v>2.02857142857143</v>
      </c>
      <c r="L11" s="21" t="s">
        <v>97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false" outlineLevel="0" collapsed="false">
      <c r="A3" s="16"/>
      <c r="B3" s="16"/>
      <c r="C3" s="16"/>
      <c r="D3" s="16"/>
    </row>
    <row r="4" customFormat="false" ht="15" hidden="false" customHeight="false" outlineLevel="0" collapsed="false">
      <c r="A4" s="22" t="s">
        <v>106</v>
      </c>
      <c r="B4" s="16"/>
      <c r="C4" s="16"/>
      <c r="D4" s="16"/>
    </row>
    <row r="5" customFormat="false" ht="15" hidden="false" customHeight="false" outlineLevel="0" collapsed="false">
      <c r="A5" s="16" t="s">
        <v>107</v>
      </c>
      <c r="B5" s="16" t="s">
        <v>108</v>
      </c>
      <c r="C5" s="16" t="s">
        <v>109</v>
      </c>
      <c r="D5" s="16" t="s">
        <v>110</v>
      </c>
    </row>
    <row r="6" customFormat="false" ht="15" hidden="false" customHeight="false" outlineLevel="0" collapsed="false">
      <c r="A6" s="16" t="s">
        <v>111</v>
      </c>
      <c r="B6" s="16" t="s">
        <v>112</v>
      </c>
      <c r="C6" s="16" t="s">
        <v>113</v>
      </c>
      <c r="D6" s="16" t="s">
        <v>114</v>
      </c>
    </row>
    <row r="7" customFormat="false" ht="15" hidden="false" customHeight="false" outlineLevel="0" collapsed="false">
      <c r="A7" s="16" t="s">
        <v>115</v>
      </c>
      <c r="B7" s="16" t="s">
        <v>108</v>
      </c>
      <c r="C7" s="16" t="s">
        <v>116</v>
      </c>
      <c r="D7" s="16" t="s">
        <v>117</v>
      </c>
    </row>
    <row r="8" customFormat="false" ht="15" hidden="false" customHeight="false" outlineLevel="0" collapsed="false">
      <c r="A8" s="16"/>
      <c r="B8" s="16"/>
      <c r="C8" s="16"/>
      <c r="D8" s="16"/>
    </row>
    <row r="9" customFormat="false" ht="15" hidden="false" customHeight="false" outlineLevel="0" collapsed="false">
      <c r="A9" s="22" t="s">
        <v>118</v>
      </c>
      <c r="B9" s="16"/>
      <c r="C9" s="16"/>
      <c r="D9" s="16"/>
    </row>
    <row r="10" customFormat="false" ht="15" hidden="false" customHeight="false" outlineLevel="0" collapsed="false">
      <c r="A10" s="16" t="s">
        <v>119</v>
      </c>
      <c r="B10" s="16" t="s">
        <v>120</v>
      </c>
      <c r="C10" s="16" t="s">
        <v>121</v>
      </c>
      <c r="D10" s="16"/>
    </row>
    <row r="11" customFormat="false" ht="15" hidden="false" customHeight="false" outlineLevel="0" collapsed="false">
      <c r="A11" s="16" t="s">
        <v>122</v>
      </c>
      <c r="B11" s="16" t="s">
        <v>123</v>
      </c>
      <c r="C11" s="16" t="s">
        <v>124</v>
      </c>
      <c r="D11" s="16"/>
    </row>
    <row r="12" customFormat="false" ht="15" hidden="false" customHeight="false" outlineLevel="0" collapsed="false">
      <c r="A12" s="16"/>
      <c r="B12" s="16"/>
      <c r="C12" s="16"/>
      <c r="D12" s="16"/>
    </row>
    <row r="13" customFormat="false" ht="15" hidden="false" customHeight="false" outlineLevel="0" collapsed="false">
      <c r="A13" s="22" t="s">
        <v>125</v>
      </c>
      <c r="B13" s="16"/>
      <c r="C13" s="16"/>
      <c r="D13" s="16"/>
    </row>
    <row r="14" customFormat="false" ht="15" hidden="false" customHeight="false" outlineLevel="0" collapsed="false">
      <c r="A14" s="16" t="s">
        <v>99</v>
      </c>
      <c r="B14" s="16" t="s">
        <v>100</v>
      </c>
      <c r="C14" s="16" t="s">
        <v>126</v>
      </c>
      <c r="D14" s="16" t="s">
        <v>127</v>
      </c>
    </row>
    <row r="15" customFormat="false" ht="15" hidden="false" customHeight="false" outlineLevel="0" collapsed="false">
      <c r="A15" s="16" t="s">
        <v>30</v>
      </c>
      <c r="B15" s="16" t="s">
        <v>101</v>
      </c>
      <c r="C15" s="16" t="s">
        <v>128</v>
      </c>
      <c r="D15" s="16"/>
    </row>
    <row r="16" customFormat="false" ht="15" hidden="false" customHeight="false" outlineLevel="0" collapsed="false">
      <c r="A16" s="16" t="s">
        <v>102</v>
      </c>
      <c r="B16" s="16" t="s">
        <v>103</v>
      </c>
      <c r="C16" s="16" t="s">
        <v>129</v>
      </c>
      <c r="D16" s="16"/>
    </row>
    <row r="17" customFormat="false" ht="15" hidden="false" customHeight="false" outlineLevel="0" collapsed="false">
      <c r="A17" s="16" t="s">
        <v>104</v>
      </c>
      <c r="B17" s="16" t="s">
        <v>103</v>
      </c>
      <c r="C17" s="16" t="s">
        <v>130</v>
      </c>
      <c r="D17" s="16" t="s">
        <v>131</v>
      </c>
    </row>
    <row r="18" customFormat="false" ht="15" hidden="false" customHeight="false" outlineLevel="0" collapsed="false">
      <c r="A18" s="16"/>
      <c r="B18" s="16"/>
      <c r="C18" s="16"/>
      <c r="D18" s="16"/>
    </row>
    <row r="19" customFormat="false" ht="15" hidden="false" customHeight="false" outlineLevel="0" collapsed="false">
      <c r="A19" s="22" t="s">
        <v>132</v>
      </c>
      <c r="B19" s="16"/>
      <c r="C19" s="16"/>
      <c r="D19" s="16"/>
    </row>
    <row r="20" customFormat="false" ht="15" hidden="false" customHeight="false" outlineLevel="0" collapsed="false">
      <c r="A20" s="16" t="s">
        <v>133</v>
      </c>
      <c r="B20" s="16" t="s">
        <v>134</v>
      </c>
      <c r="C20" s="16" t="s">
        <v>135</v>
      </c>
      <c r="D20" s="16"/>
    </row>
    <row r="21" customFormat="false" ht="15" hidden="false" customHeight="false" outlineLevel="0" collapsed="false">
      <c r="A21" s="16" t="s">
        <v>136</v>
      </c>
      <c r="B21" s="16" t="s">
        <v>134</v>
      </c>
      <c r="C21" s="16" t="s">
        <v>135</v>
      </c>
      <c r="D21" s="16"/>
    </row>
    <row r="22" customFormat="false" ht="15" hidden="false" customHeight="false" outlineLevel="0" collapsed="false">
      <c r="A22" s="16" t="s">
        <v>137</v>
      </c>
      <c r="B22" s="16" t="s">
        <v>134</v>
      </c>
      <c r="C22" s="16" t="s">
        <v>138</v>
      </c>
      <c r="D22" s="16"/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2026-05-11T07:13:26Z</dcterms:created>
  <dc:creator>openpyxl</dc:creator>
  <dc:description/>
  <dc:language>en-US</dc:language>
  <cp:lastModifiedBy/>
  <dcterms:modified xsi:type="dcterms:W3CDTF">2026-05-11T07:13:26Z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